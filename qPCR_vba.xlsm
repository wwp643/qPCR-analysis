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filterPrivacy="1" codeName="ThisWorkbook" hidePivotFieldList="1"/>
  <xr:revisionPtr revIDLastSave="0" documentId="13_ncr:1_{B8E14A1A-7C1B-46FA-8AC7-94199C3CC1F0}" xr6:coauthVersionLast="47" xr6:coauthVersionMax="47" xr10:uidLastSave="{00000000-0000-0000-0000-000000000000}"/>
  <workbookProtection workbookAlgorithmName="SHA-512" workbookHashValue="w5vgucfzaEQWvGwo7PYUNlsnybd6nptHE9ndr3M18UlhN6Bue342kTxhqTzcauJ0uucFScrOCBgXarE+7Li4QA==" workbookSaltValue="ESw8qjzvs71igU5c2fdAAQ==" workbookSpinCount="100000" lockStructure="1"/>
  <bookViews>
    <workbookView xWindow="-110" yWindow="-110" windowWidth="25820" windowHeight="15500" xr2:uid="{00000000-000D-0000-FFFF-FFFF00000000}"/>
  </bookViews>
  <sheets>
    <sheet name="Data" sheetId="1" r:id="rId1"/>
    <sheet name="Hide" sheetId="146" state="hidden" r:id="rId2"/>
    <sheet name="Result" sheetId="145" r:id="rId3"/>
  </sheets>
  <functionGroups builtInGroupCount="19"/>
  <calcPr calcId="191029"/>
  <pivotCaches>
    <pivotCache cacheId="29" r:id="rId4"/>
    <pivotCache cacheId="34" r:id="rId5"/>
    <pivotCache cacheId="39" r:id="rId6"/>
    <pivotCache cacheId="44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2" i="1"/>
  <c r="E4" i="1"/>
  <c r="E5" i="1"/>
  <c r="E25" i="1"/>
  <c r="E6" i="1"/>
  <c r="E26" i="1"/>
  <c r="E7" i="1"/>
  <c r="E27" i="1"/>
  <c r="E8" i="1"/>
  <c r="E28" i="1"/>
  <c r="E9" i="1"/>
  <c r="E29" i="1"/>
  <c r="E10" i="1"/>
  <c r="E30" i="1"/>
  <c r="E11" i="1"/>
  <c r="E31" i="1"/>
  <c r="E12" i="1"/>
  <c r="E32" i="1"/>
  <c r="E13" i="1"/>
  <c r="E33" i="1"/>
  <c r="E14" i="1"/>
  <c r="E34" i="1"/>
  <c r="E15" i="1"/>
  <c r="E35" i="1"/>
  <c r="E16" i="1"/>
  <c r="E36" i="1"/>
  <c r="E17" i="1"/>
  <c r="E37" i="1"/>
  <c r="E18" i="1"/>
  <c r="E38" i="1"/>
  <c r="E19" i="1"/>
  <c r="E39" i="1"/>
  <c r="E40" i="1"/>
  <c r="E21" i="1"/>
  <c r="E41" i="1"/>
  <c r="E22" i="1"/>
  <c r="E42" i="1"/>
  <c r="E3" i="1"/>
  <c r="E23" i="1"/>
  <c r="E43" i="1"/>
  <c r="E24" i="1"/>
  <c r="E20" i="1"/>
  <c r="E2" i="1"/>
  <c r="D3" i="1"/>
  <c r="D4" i="1"/>
  <c r="D7" i="1"/>
  <c r="D27" i="1"/>
  <c r="D8" i="1"/>
  <c r="D28" i="1"/>
  <c r="D9" i="1"/>
  <c r="D29" i="1"/>
  <c r="D10" i="1"/>
  <c r="D30" i="1"/>
  <c r="D11" i="1"/>
  <c r="D31" i="1"/>
  <c r="D12" i="1"/>
  <c r="D32" i="1"/>
  <c r="D13" i="1"/>
  <c r="D33" i="1"/>
  <c r="D14" i="1"/>
  <c r="D34" i="1"/>
  <c r="D15" i="1"/>
  <c r="D35" i="1"/>
  <c r="D16" i="1"/>
  <c r="D36" i="1"/>
  <c r="D17" i="1"/>
  <c r="D37" i="1"/>
  <c r="D18" i="1"/>
  <c r="D38" i="1"/>
  <c r="D19" i="1"/>
  <c r="D39" i="1"/>
  <c r="D20" i="1"/>
  <c r="D40" i="1"/>
  <c r="D21" i="1"/>
  <c r="D41" i="1"/>
  <c r="D22" i="1"/>
  <c r="D42" i="1"/>
  <c r="D23" i="1"/>
  <c r="D43" i="1"/>
  <c r="D24" i="1"/>
  <c r="D5" i="1"/>
  <c r="D25" i="1"/>
  <c r="D6" i="1"/>
  <c r="D26" i="1"/>
  <c r="D2" i="1"/>
</calcChain>
</file>

<file path=xl/sharedStrings.xml><?xml version="1.0" encoding="utf-8"?>
<sst xmlns="http://schemas.openxmlformats.org/spreadsheetml/2006/main" count="161" uniqueCount="33">
  <si>
    <t>Ct</t>
  </si>
  <si>
    <t>SampleName</t>
  </si>
  <si>
    <t>TargetName</t>
  </si>
  <si>
    <t>使用教程</t>
  </si>
  <si>
    <t xml:space="preserve">    1. 前面两张为中间结果，为各个基因样本的Ct和delta Ct值的均值</t>
  </si>
  <si>
    <t xml:space="preserve">    3. 柱状图为相对表达量的表征</t>
  </si>
  <si>
    <t>内参（Endogenous Control）</t>
  </si>
  <si>
    <t>对照（Reference Sample）</t>
  </si>
  <si>
    <t>请勿禁用宏，请勿对红色表头进行修改</t>
  </si>
  <si>
    <t>TTest of expr</t>
  </si>
  <si>
    <t>1. 本表一行数据代表一个孔，请在浅蓝区域填入每孔对应的样本名(SampleName), 基因名(TargetName)与Ct值</t>
  </si>
  <si>
    <t>本程序在Mac和低版本EXCEL中可能有兼容性问题，如程序出错，请在公众号留言</t>
  </si>
  <si>
    <t>2. 选择对照组样本和内参基因</t>
  </si>
  <si>
    <t>结果包括5个表和一张图：</t>
  </si>
  <si>
    <t xml:space="preserve">    2. 您可能更专注后3张，分别为相对表达量的平均值，标准差和t检验的P值（与你设置的对照组相比）</t>
  </si>
  <si>
    <r>
      <t>3. 轻轻按下</t>
    </r>
    <r>
      <rPr>
        <b/>
        <sz val="12"/>
        <color rgb="FF002060"/>
        <rFont val="等线"/>
        <family val="2"/>
        <scheme val="minor"/>
      </rPr>
      <t>计算</t>
    </r>
    <r>
      <rPr>
        <b/>
        <sz val="12"/>
        <rFont val="等线"/>
        <family val="2"/>
        <scheme val="minor"/>
      </rPr>
      <t>按钮</t>
    </r>
  </si>
  <si>
    <t>本程序出自微信公众号“小折线”，完全免费，盗版必究</t>
  </si>
  <si>
    <t>平均值项:Ct</t>
  </si>
  <si>
    <t>平均值项:dCt</t>
  </si>
  <si>
    <t>平均值项:expr</t>
  </si>
  <si>
    <t>标准偏差项:expr</t>
  </si>
  <si>
    <t>expr</t>
    <phoneticPr fontId="5" type="noConversion"/>
  </si>
  <si>
    <t>dCt</t>
    <phoneticPr fontId="5" type="noConversion"/>
  </si>
  <si>
    <t>ddCt</t>
    <phoneticPr fontId="5" type="noConversion"/>
  </si>
  <si>
    <t>sigA</t>
  </si>
  <si>
    <t>rpmG</t>
  </si>
  <si>
    <t>rpsJ</t>
  </si>
  <si>
    <t>rpsG</t>
  </si>
  <si>
    <t>rplN</t>
  </si>
  <si>
    <t>rpsT</t>
  </si>
  <si>
    <t>rpmF</t>
  </si>
  <si>
    <t>WT</t>
  </si>
  <si>
    <t>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</si>
</sst>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"/>
    <numFmt numFmtId="177" formatCode="#,##0.000"/>
    <numFmt numFmtId="178" formatCode="0.00_);[Red]\(0.00\)"/>
  </numFmts>
  <fonts count="13" x14ac:knownFonts="1">
    <font>
      <sz val="11"/>
      <color theme="1"/>
      <name val="等线"/>
      <family val="2"/>
      <scheme val="minor"/>
    </font>
    <font>
      <u/>
      <sz val="10"/>
      <color theme="10"/>
      <name val="Arial"/>
      <family val="2"/>
    </font>
    <font>
      <b/>
      <sz val="12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b/>
      <sz val="12"/>
      <color rgb="FFC00000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2"/>
      <color rgb="FFFF0000"/>
      <name val="等线"/>
      <family val="2"/>
      <scheme val="minor"/>
    </font>
    <font>
      <b/>
      <sz val="12"/>
      <color theme="10"/>
      <name val="等线"/>
      <family val="2"/>
      <scheme val="minor"/>
    </font>
    <font>
      <b/>
      <sz val="12"/>
      <name val="等线"/>
      <family val="2"/>
      <scheme val="minor"/>
    </font>
    <font>
      <b/>
      <sz val="12"/>
      <color rgb="FF002060"/>
      <name val="等线"/>
      <family val="2"/>
      <scheme val="minor"/>
    </font>
    <font>
      <b/>
      <sz val="18"/>
      <color rgb="FFFF0000"/>
      <name val="等线"/>
      <family val="2"/>
      <scheme val="minor"/>
    </font>
    <font>
      <b/>
      <u/>
      <sz val="16"/>
      <color rgb="FF3366FF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pivotButton="1"/>
    <xf numFmtId="176" fontId="0" fillId="0" borderId="0" xfId="0" applyNumberFormat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5" borderId="2" xfId="0" applyFont="1" applyFill="1" applyBorder="1" applyProtection="1">
      <protection locked="0"/>
    </xf>
    <xf numFmtId="0" fontId="2" fillId="5" borderId="3" xfId="0" applyFont="1" applyFill="1" applyBorder="1" applyProtection="1">
      <protection locked="0"/>
    </xf>
    <xf numFmtId="0" fontId="2" fillId="5" borderId="0" xfId="0" applyFont="1" applyFill="1" applyProtection="1">
      <protection locked="0"/>
    </xf>
    <xf numFmtId="0" fontId="2" fillId="5" borderId="5" xfId="0" applyFont="1" applyFill="1" applyBorder="1" applyProtection="1">
      <protection locked="0"/>
    </xf>
    <xf numFmtId="0" fontId="2" fillId="5" borderId="4" xfId="0" applyFont="1" applyFill="1" applyBorder="1" applyAlignment="1" applyProtection="1">
      <alignment horizontal="right"/>
      <protection locked="0"/>
    </xf>
    <xf numFmtId="0" fontId="2" fillId="5" borderId="7" xfId="0" applyFont="1" applyFill="1" applyBorder="1" applyProtection="1">
      <protection locked="0"/>
    </xf>
    <xf numFmtId="0" fontId="2" fillId="5" borderId="8" xfId="0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0" fontId="2" fillId="2" borderId="5" xfId="0" applyFont="1" applyFill="1" applyBorder="1" applyProtection="1">
      <protection locked="0"/>
    </xf>
    <xf numFmtId="0" fontId="2" fillId="0" borderId="0" xfId="0" applyFont="1" applyProtection="1">
      <protection locked="0"/>
    </xf>
    <xf numFmtId="0" fontId="2" fillId="0" borderId="5" xfId="0" applyFont="1" applyBorder="1" applyProtection="1">
      <protection locked="0"/>
    </xf>
    <xf numFmtId="0" fontId="2" fillId="0" borderId="7" xfId="0" applyFont="1" applyBorder="1" applyProtection="1">
      <protection locked="0"/>
    </xf>
    <xf numFmtId="0" fontId="2" fillId="0" borderId="8" xfId="0" applyFont="1" applyBorder="1" applyProtection="1">
      <protection locked="0"/>
    </xf>
    <xf numFmtId="0" fontId="3" fillId="0" borderId="0" xfId="0" applyFont="1" applyProtection="1">
      <protection locked="0"/>
    </xf>
    <xf numFmtId="0" fontId="8" fillId="5" borderId="1" xfId="0" applyFont="1" applyFill="1" applyBorder="1" applyProtection="1">
      <protection locked="0"/>
    </xf>
    <xf numFmtId="0" fontId="8" fillId="5" borderId="4" xfId="0" applyFont="1" applyFill="1" applyBorder="1" applyProtection="1">
      <protection locked="0"/>
    </xf>
    <xf numFmtId="0" fontId="8" fillId="5" borderId="6" xfId="0" applyFont="1" applyFill="1" applyBorder="1" applyProtection="1">
      <protection locked="0"/>
    </xf>
    <xf numFmtId="0" fontId="8" fillId="2" borderId="1" xfId="0" applyFont="1" applyFill="1" applyBorder="1" applyAlignment="1" applyProtection="1">
      <alignment vertical="top"/>
      <protection locked="0"/>
    </xf>
    <xf numFmtId="0" fontId="8" fillId="2" borderId="2" xfId="0" applyFont="1" applyFill="1" applyBorder="1" applyAlignment="1" applyProtection="1">
      <alignment vertical="top" wrapText="1"/>
      <protection locked="0"/>
    </xf>
    <xf numFmtId="0" fontId="8" fillId="2" borderId="3" xfId="0" applyFont="1" applyFill="1" applyBorder="1" applyAlignment="1" applyProtection="1">
      <alignment vertical="top" wrapText="1"/>
      <protection locked="0"/>
    </xf>
    <xf numFmtId="0" fontId="8" fillId="2" borderId="4" xfId="0" applyFont="1" applyFill="1" applyBorder="1" applyProtection="1">
      <protection locked="0"/>
    </xf>
    <xf numFmtId="0" fontId="6" fillId="0" borderId="4" xfId="0" applyFont="1" applyBorder="1" applyProtection="1">
      <protection locked="0"/>
    </xf>
    <xf numFmtId="0" fontId="6" fillId="0" borderId="6" xfId="0" applyFont="1" applyBorder="1" applyProtection="1">
      <protection locked="0"/>
    </xf>
    <xf numFmtId="0" fontId="12" fillId="6" borderId="0" xfId="0" applyFont="1" applyFill="1"/>
    <xf numFmtId="177" fontId="0" fillId="0" borderId="0" xfId="0" applyNumberFormat="1"/>
    <xf numFmtId="0" fontId="0" fillId="7" borderId="0" xfId="0" applyFill="1"/>
    <xf numFmtId="0" fontId="4" fillId="3" borderId="9" xfId="0" applyFont="1" applyFill="1" applyBorder="1" applyAlignment="1">
      <alignment horizontal="center" vertical="center"/>
    </xf>
    <xf numFmtId="176" fontId="4" fillId="4" borderId="9" xfId="0" applyNumberFormat="1" applyFont="1" applyFill="1" applyBorder="1" applyAlignment="1">
      <alignment horizontal="center" vertical="center"/>
    </xf>
    <xf numFmtId="178" fontId="4" fillId="4" borderId="9" xfId="0" applyNumberFormat="1" applyFont="1" applyFill="1" applyBorder="1" applyAlignment="1">
      <alignment horizontal="center" vertical="center"/>
    </xf>
    <xf numFmtId="0" fontId="0" fillId="0" borderId="9" xfId="0" applyBorder="1"/>
    <xf numFmtId="177" fontId="0" fillId="0" borderId="9" xfId="0" applyNumberFormat="1" applyBorder="1"/>
    <xf numFmtId="176" fontId="0" fillId="0" borderId="9" xfId="0" applyNumberFormat="1" applyBorder="1"/>
    <xf numFmtId="0" fontId="0" fillId="7" borderId="9" xfId="0" applyFill="1" applyBorder="1"/>
    <xf numFmtId="177" fontId="0" fillId="7" borderId="9" xfId="0" applyNumberFormat="1" applyFill="1" applyBorder="1"/>
    <xf numFmtId="0" fontId="3" fillId="3" borderId="9" xfId="0" applyFont="1" applyFill="1" applyBorder="1" applyAlignment="1" applyProtection="1">
      <alignment horizontal="center" vertical="center"/>
      <protection locked="0"/>
    </xf>
    <xf numFmtId="176" fontId="3" fillId="4" borderId="9" xfId="0" applyNumberFormat="1" applyFont="1" applyFill="1" applyBorder="1" applyAlignment="1" applyProtection="1">
      <alignment horizontal="center" vertical="center"/>
      <protection locked="0"/>
    </xf>
    <xf numFmtId="178" fontId="3" fillId="4" borderId="9" xfId="0" applyNumberFormat="1" applyFont="1" applyFill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10" fillId="0" borderId="3" xfId="0" applyFont="1" applyBorder="1" applyAlignment="1" applyProtection="1">
      <alignment horizontal="center" vertical="center"/>
      <protection locked="0"/>
    </xf>
    <xf numFmtId="0" fontId="7" fillId="0" borderId="6" xfId="1" applyNumberFormat="1" applyFont="1" applyBorder="1" applyAlignment="1" applyProtection="1">
      <alignment horizontal="right"/>
    </xf>
    <xf numFmtId="0" fontId="7" fillId="0" borderId="7" xfId="1" applyNumberFormat="1" applyFont="1" applyBorder="1" applyAlignment="1" applyProtection="1">
      <alignment horizontal="right"/>
    </xf>
    <xf numFmtId="0" fontId="7" fillId="0" borderId="8" xfId="1" applyNumberFormat="1" applyFont="1" applyBorder="1" applyAlignment="1" applyProtection="1">
      <alignment horizontal="right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colors>
    <mruColors>
      <color rgb="FF0E05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2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[qPCR_vba.xlsm]Result!mean_expr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Expression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Result!$C$14:$C$15</c:f>
              <c:strCache>
                <c:ptCount val="1"/>
                <c:pt idx="0">
                  <c:v>rplN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Lit>
                <c:formatCode>General</c:formatCode>
                <c:ptCount val="2"/>
                <c:pt idx="0">
                  <c:v>3.7293986558801395E-2</c:v>
                </c:pt>
                <c:pt idx="1">
                  <c:v>0.26516276827893076</c:v>
                </c:pt>
              </c:numLit>
            </c:plus>
            <c:minus>
              <c:numLit>
                <c:formatCode>General</c:formatCode>
                <c:ptCount val="2"/>
                <c:pt idx="0">
                  <c:v>3.7293986558801395E-2</c:v>
                </c:pt>
                <c:pt idx="1">
                  <c:v>0.26516276827893076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Result!$B$16:$B$17</c:f>
              <c:strCache>
                <c:ptCount val="2"/>
                <c:pt idx="0">
                  <c:v>OE</c:v>
                </c:pt>
                <c:pt idx="1">
                  <c:v>WT</c:v>
                </c:pt>
              </c:strCache>
            </c:strRef>
          </c:cat>
          <c:val>
            <c:numRef>
              <c:f>Result!$C$16:$C$17</c:f>
              <c:numCache>
                <c:formatCode>General</c:formatCode>
                <c:ptCount val="2"/>
                <c:pt idx="0">
                  <c:v>0.13837061446359708</c:v>
                </c:pt>
                <c:pt idx="1">
                  <c:v>1.023803454285515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8-4774-BF33-49C1B00E621A}"/>
            </c:ext>
          </c:extLst>
        </c:ser>
        <c:ser>
          <c:idx val="1"/>
          <c:order val="1"/>
          <c:tx>
            <c:strRef>
              <c:f>Result!$D$14:$D$15</c:f>
              <c:strCache>
                <c:ptCount val="1"/>
                <c:pt idx="0">
                  <c:v>rpmF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Lit>
                <c:formatCode>General</c:formatCode>
                <c:ptCount val="2"/>
                <c:pt idx="0">
                  <c:v>5.3919270346797438E-3</c:v>
                </c:pt>
                <c:pt idx="1">
                  <c:v>0.12393499348699633</c:v>
                </c:pt>
              </c:numLit>
            </c:plus>
            <c:minus>
              <c:numLit>
                <c:formatCode>General</c:formatCode>
                <c:ptCount val="2"/>
                <c:pt idx="0">
                  <c:v>5.3919270346797438E-3</c:v>
                </c:pt>
                <c:pt idx="1">
                  <c:v>0.12393499348699633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Result!$B$16:$B$17</c:f>
              <c:strCache>
                <c:ptCount val="2"/>
                <c:pt idx="0">
                  <c:v>OE</c:v>
                </c:pt>
                <c:pt idx="1">
                  <c:v>WT</c:v>
                </c:pt>
              </c:strCache>
            </c:strRef>
          </c:cat>
          <c:val>
            <c:numRef>
              <c:f>Result!$D$16:$D$17</c:f>
              <c:numCache>
                <c:formatCode>General</c:formatCode>
                <c:ptCount val="2"/>
                <c:pt idx="0">
                  <c:v>5.1070437419926375E-2</c:v>
                </c:pt>
                <c:pt idx="1">
                  <c:v>1.0050157330521057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28-4774-BF33-49C1B00E621A}"/>
            </c:ext>
          </c:extLst>
        </c:ser>
        <c:ser>
          <c:idx val="2"/>
          <c:order val="2"/>
          <c:tx>
            <c:strRef>
              <c:f>Result!$E$14:$E$15</c:f>
              <c:strCache>
                <c:ptCount val="1"/>
                <c:pt idx="0">
                  <c:v>rpmG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Lit>
                <c:formatCode>General</c:formatCode>
                <c:ptCount val="2"/>
                <c:pt idx="0">
                  <c:v>0.19751657388297991</c:v>
                </c:pt>
                <c:pt idx="1">
                  <c:v>0.14270293991633853</c:v>
                </c:pt>
              </c:numLit>
            </c:plus>
            <c:minus>
              <c:numLit>
                <c:formatCode>General</c:formatCode>
                <c:ptCount val="2"/>
                <c:pt idx="0">
                  <c:v>0.19751657388297991</c:v>
                </c:pt>
                <c:pt idx="1">
                  <c:v>0.14270293991633853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Result!$B$16:$B$17</c:f>
              <c:strCache>
                <c:ptCount val="2"/>
                <c:pt idx="0">
                  <c:v>OE</c:v>
                </c:pt>
                <c:pt idx="1">
                  <c:v>WT</c:v>
                </c:pt>
              </c:strCache>
            </c:strRef>
          </c:cat>
          <c:val>
            <c:numRef>
              <c:f>Result!$E$16:$E$17</c:f>
              <c:numCache>
                <c:formatCode>General</c:formatCode>
                <c:ptCount val="2"/>
                <c:pt idx="0">
                  <c:v>0.2833191589424684</c:v>
                </c:pt>
                <c:pt idx="1">
                  <c:v>1.0069988280374966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28-4774-BF33-49C1B00E621A}"/>
            </c:ext>
          </c:extLst>
        </c:ser>
        <c:ser>
          <c:idx val="3"/>
          <c:order val="3"/>
          <c:tx>
            <c:strRef>
              <c:f>Result!$F$14:$F$15</c:f>
              <c:strCache>
                <c:ptCount val="1"/>
                <c:pt idx="0">
                  <c:v>rpsG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Lit>
                <c:formatCode>General</c:formatCode>
                <c:ptCount val="2"/>
                <c:pt idx="0">
                  <c:v>0.18859835017572524</c:v>
                </c:pt>
                <c:pt idx="1">
                  <c:v>0.1381282165975137</c:v>
                </c:pt>
              </c:numLit>
            </c:plus>
            <c:minus>
              <c:numLit>
                <c:formatCode>General</c:formatCode>
                <c:ptCount val="2"/>
                <c:pt idx="0">
                  <c:v>0.18859835017572524</c:v>
                </c:pt>
                <c:pt idx="1">
                  <c:v>0.1381282165975137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Result!$B$16:$B$17</c:f>
              <c:strCache>
                <c:ptCount val="2"/>
                <c:pt idx="0">
                  <c:v>OE</c:v>
                </c:pt>
                <c:pt idx="1">
                  <c:v>WT</c:v>
                </c:pt>
              </c:strCache>
            </c:strRef>
          </c:cat>
          <c:val>
            <c:numRef>
              <c:f>Result!$F$16:$F$17</c:f>
              <c:numCache>
                <c:formatCode>General</c:formatCode>
                <c:ptCount val="2"/>
                <c:pt idx="0">
                  <c:v>0.25244919578082192</c:v>
                </c:pt>
                <c:pt idx="1">
                  <c:v>1.0060888098899754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28-4774-BF33-49C1B00E621A}"/>
            </c:ext>
          </c:extLst>
        </c:ser>
        <c:ser>
          <c:idx val="4"/>
          <c:order val="4"/>
          <c:tx>
            <c:strRef>
              <c:f>Result!$G$14:$G$15</c:f>
              <c:strCache>
                <c:ptCount val="1"/>
                <c:pt idx="0">
                  <c:v>rpsJ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Lit>
                <c:formatCode>General</c:formatCode>
                <c:ptCount val="2"/>
                <c:pt idx="0">
                  <c:v>6.5739606786254692E-2</c:v>
                </c:pt>
                <c:pt idx="1">
                  <c:v>8.8311286381839008E-2</c:v>
                </c:pt>
              </c:numLit>
            </c:plus>
            <c:minus>
              <c:numLit>
                <c:formatCode>General</c:formatCode>
                <c:ptCount val="2"/>
                <c:pt idx="0">
                  <c:v>6.5739606786254692E-2</c:v>
                </c:pt>
                <c:pt idx="1">
                  <c:v>8.8311286381839008E-2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Result!$B$16:$B$17</c:f>
              <c:strCache>
                <c:ptCount val="2"/>
                <c:pt idx="0">
                  <c:v>OE</c:v>
                </c:pt>
                <c:pt idx="1">
                  <c:v>WT</c:v>
                </c:pt>
              </c:strCache>
            </c:strRef>
          </c:cat>
          <c:val>
            <c:numRef>
              <c:f>Result!$G$16:$G$17</c:f>
              <c:numCache>
                <c:formatCode>General</c:formatCode>
                <c:ptCount val="2"/>
                <c:pt idx="0">
                  <c:v>0.24073517875266051</c:v>
                </c:pt>
                <c:pt idx="1">
                  <c:v>1.0025310182752347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28-4774-BF33-49C1B00E621A}"/>
            </c:ext>
          </c:extLst>
        </c:ser>
        <c:ser>
          <c:idx val="5"/>
          <c:order val="5"/>
          <c:tx>
            <c:strRef>
              <c:f>Result!$H$14:$H$15</c:f>
              <c:strCache>
                <c:ptCount val="1"/>
                <c:pt idx="0">
                  <c:v>rpsT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Lit>
                <c:formatCode>General</c:formatCode>
                <c:ptCount val="2"/>
                <c:pt idx="0">
                  <c:v>6.5815136840026184E-2</c:v>
                </c:pt>
                <c:pt idx="1">
                  <c:v>0.153813508361033</c:v>
                </c:pt>
              </c:numLit>
            </c:plus>
            <c:minus>
              <c:numLit>
                <c:formatCode>General</c:formatCode>
                <c:ptCount val="2"/>
                <c:pt idx="0">
                  <c:v>6.5815136840026184E-2</c:v>
                </c:pt>
                <c:pt idx="1">
                  <c:v>0.153813508361033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Result!$B$16:$B$17</c:f>
              <c:strCache>
                <c:ptCount val="2"/>
                <c:pt idx="0">
                  <c:v>OE</c:v>
                </c:pt>
                <c:pt idx="1">
                  <c:v>WT</c:v>
                </c:pt>
              </c:strCache>
            </c:strRef>
          </c:cat>
          <c:val>
            <c:numRef>
              <c:f>Result!$H$16:$H$17</c:f>
              <c:numCache>
                <c:formatCode>General</c:formatCode>
                <c:ptCount val="2"/>
                <c:pt idx="0">
                  <c:v>0.33936822920570275</c:v>
                </c:pt>
                <c:pt idx="1">
                  <c:v>1.0077896400348434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28-4774-BF33-49C1B00E62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50"/>
        <c:axId val="935072784"/>
        <c:axId val="935059344"/>
      </c:barChart>
      <c:catAx>
        <c:axId val="93507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5059344"/>
        <c:crosses val="autoZero"/>
        <c:auto val="1"/>
        <c:lblAlgn val="ctr"/>
        <c:lblOffset val="100"/>
        <c:noMultiLvlLbl val="0"/>
      </c:catAx>
      <c:valAx>
        <c:axId val="93505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93507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13</xdr:row>
          <xdr:rowOff>146050</xdr:rowOff>
        </xdr:from>
        <xdr:to>
          <xdr:col>7</xdr:col>
          <xdr:colOff>2590800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600" b="1" i="0" u="sng" strike="noStrike" baseline="0">
                  <a:solidFill>
                    <a:srgbClr val="3366FF"/>
                  </a:solidFill>
                  <a:latin typeface="等线"/>
                  <a:ea typeface="等线"/>
                </a:rPr>
                <a:t>计算相对表达量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222250</xdr:colOff>
      <xdr:row>11</xdr:row>
      <xdr:rowOff>139700</xdr:rowOff>
    </xdr:from>
    <xdr:to>
      <xdr:col>16</xdr:col>
      <xdr:colOff>406400</xdr:colOff>
      <xdr:row>27</xdr:row>
      <xdr:rowOff>38100</xdr:rowOff>
    </xdr:to>
    <xdr:graphicFrame macro="">
      <xdr:nvGraphicFramePr>
        <xdr:cNvPr id="3" name="Chart">
          <a:extLst>
            <a:ext uri="{FF2B5EF4-FFF2-40B4-BE49-F238E27FC236}">
              <a16:creationId xmlns:a16="http://schemas.microsoft.com/office/drawing/2014/main" id="{DE6A5F9F-A084-2D11-EF58-83C0FA423C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5534.668774189813" createdVersion="3" refreshedVersion="8" minRefreshableVersion="3" recordCount="42" xr:uid="{FC74AED7-E4C6-423B-B3FF-38A23D7A9E4F}">
  <cacheSource type="worksheet">
    <worksheetSource ref="A1:C43" sheet="Data"/>
  </cacheSource>
  <cacheFields count="3">
    <cacheField name="SampleName" numFmtId="0">
      <sharedItems count="2">
        <s v="OE"/>
        <s v="WT"/>
      </sharedItems>
    </cacheField>
    <cacheField name="TargetName" numFmtId="0">
      <sharedItems count="7">
        <s v="rpsJ"/>
        <s v="rpsG"/>
        <s v="rplN"/>
        <s v="rpmG"/>
        <s v="rpsT"/>
        <s v="rpmF"/>
        <s v="sigA"/>
      </sharedItems>
    </cacheField>
    <cacheField name="Ct" numFmtId="0">
      <sharedItems containsSemiMixedTypes="0" containsString="0" containsNumber="1" minValue="23.44" maxValue="32.3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5534.668776967592" createdVersion="3" refreshedVersion="8" minRefreshableVersion="3" recordCount="42" xr:uid="{31905369-8008-4B92-B949-32A16172946D}">
  <cacheSource type="worksheet">
    <worksheetSource ref="A1:D43" sheet="Data"/>
  </cacheSource>
  <cacheFields count="4">
    <cacheField name="SampleName" numFmtId="0">
      <sharedItems count="2">
        <s v="OE"/>
        <s v="WT"/>
      </sharedItems>
    </cacheField>
    <cacheField name="TargetName" numFmtId="0">
      <sharedItems count="7">
        <s v="rpsJ"/>
        <s v="rpsG"/>
        <s v="rplN"/>
        <s v="rpmG"/>
        <s v="rpsT"/>
        <s v="rpmF"/>
        <s v="sigA"/>
      </sharedItems>
    </cacheField>
    <cacheField name="Ct" numFmtId="0">
      <sharedItems containsSemiMixedTypes="0" containsString="0" containsNumber="1" minValue="23.44" maxValue="32.33"/>
    </cacheField>
    <cacheField name="dCt" numFmtId="176">
      <sharedItems containsSemiMixedTypes="0" containsString="0" containsNumber="1" minValue="-3.1799999999999997" maxValue="4.81333333333333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5534.668780208332" createdVersion="3" refreshedVersion="8" minRefreshableVersion="3" recordCount="42" xr:uid="{358CFC1F-4C18-4282-BA2A-D5427350AC0B}">
  <cacheSource type="worksheet">
    <worksheetSource ref="A1:F43" sheet="Data"/>
  </cacheSource>
  <cacheFields count="6">
    <cacheField name="SampleName" numFmtId="0">
      <sharedItems count="2">
        <s v="OE"/>
        <s v="WT"/>
      </sharedItems>
    </cacheField>
    <cacheField name="TargetName" numFmtId="0">
      <sharedItems count="7">
        <s v="rpsJ"/>
        <s v="rpsG"/>
        <s v="rplN"/>
        <s v="rpmG"/>
        <s v="rpsT"/>
        <s v="rpmF"/>
        <s v="sigA"/>
      </sharedItems>
    </cacheField>
    <cacheField name="Ct" numFmtId="0">
      <sharedItems containsSemiMixedTypes="0" containsString="0" containsNumber="1" minValue="23.44" maxValue="32.33"/>
    </cacheField>
    <cacheField name="dCt" numFmtId="176">
      <sharedItems containsSemiMixedTypes="0" containsString="0" containsNumber="1" minValue="-3.1799999999999997" maxValue="4.8133333333333326"/>
    </cacheField>
    <cacheField name="ddCt" numFmtId="176">
      <sharedItems containsSemiMixedTypes="0" containsString="0" containsNumber="1" minValue="-0.35666666666666558" maxValue="4.8166666666666673"/>
    </cacheField>
    <cacheField name="expr" numFmtId="176">
      <sharedItems containsSemiMixedTypes="0" containsString="0" containsNumber="1" minValue="3.548451340846491E-2" maxValue="1.28046397715068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5534.668782754627" createdVersion="3" refreshedVersion="8" minRefreshableVersion="3" recordCount="42" xr:uid="{A37E1503-FD47-4FC3-948A-EFD82F433F64}">
  <cacheSource type="worksheet">
    <worksheetSource ref="A1:F43" sheet="Data"/>
  </cacheSource>
  <cacheFields count="6">
    <cacheField name="SampleName" numFmtId="0">
      <sharedItems count="2">
        <s v="OE"/>
        <s v="WT"/>
      </sharedItems>
    </cacheField>
    <cacheField name="TargetName" numFmtId="0">
      <sharedItems count="7">
        <s v="rpsJ"/>
        <s v="rpsG"/>
        <s v="rplN"/>
        <s v="rpmG"/>
        <s v="rpsT"/>
        <s v="rpmF"/>
        <s v="sigA"/>
      </sharedItems>
    </cacheField>
    <cacheField name="Ct" numFmtId="0">
      <sharedItems containsSemiMixedTypes="0" containsString="0" containsNumber="1" minValue="23.44" maxValue="32.33"/>
    </cacheField>
    <cacheField name="dCt" numFmtId="176">
      <sharedItems containsSemiMixedTypes="0" containsString="0" containsNumber="1" minValue="-3.1799999999999997" maxValue="4.8133333333333326"/>
    </cacheField>
    <cacheField name="ddCt" numFmtId="176">
      <sharedItems containsSemiMixedTypes="0" containsString="0" containsNumber="1" minValue="-0.35666666666666558" maxValue="4.8166666666666673"/>
    </cacheField>
    <cacheField name="expr" numFmtId="176">
      <sharedItems containsSemiMixedTypes="0" containsString="0" containsNumber="1" minValue="3.548451340846491E-2" maxValue="1.28046397715068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x v="0"/>
    <n v="27.98"/>
  </r>
  <r>
    <x v="0"/>
    <x v="0"/>
    <n v="27.64"/>
  </r>
  <r>
    <x v="0"/>
    <x v="0"/>
    <n v="27.2"/>
  </r>
  <r>
    <x v="0"/>
    <x v="1"/>
    <n v="32.33"/>
  </r>
  <r>
    <x v="0"/>
    <x v="1"/>
    <n v="29.05"/>
  </r>
  <r>
    <x v="0"/>
    <x v="1"/>
    <n v="28.92"/>
  </r>
  <r>
    <x v="0"/>
    <x v="2"/>
    <n v="28.08"/>
  </r>
  <r>
    <x v="0"/>
    <x v="2"/>
    <n v="27.3"/>
  </r>
  <r>
    <x v="0"/>
    <x v="2"/>
    <n v="27.38"/>
  </r>
  <r>
    <x v="0"/>
    <x v="3"/>
    <n v="29.54"/>
  </r>
  <r>
    <x v="0"/>
    <x v="3"/>
    <n v="26.68"/>
  </r>
  <r>
    <x v="0"/>
    <x v="3"/>
    <n v="26.71"/>
  </r>
  <r>
    <x v="0"/>
    <x v="4"/>
    <n v="29.79"/>
  </r>
  <r>
    <x v="0"/>
    <x v="4"/>
    <n v="30.33"/>
  </r>
  <r>
    <x v="0"/>
    <x v="4"/>
    <n v="30.14"/>
  </r>
  <r>
    <x v="0"/>
    <x v="5"/>
    <n v="31.6"/>
  </r>
  <r>
    <x v="0"/>
    <x v="5"/>
    <n v="31.48"/>
  </r>
  <r>
    <x v="0"/>
    <x v="5"/>
    <n v="31.3"/>
  </r>
  <r>
    <x v="0"/>
    <x v="6"/>
    <n v="27.79"/>
  </r>
  <r>
    <x v="0"/>
    <x v="6"/>
    <n v="27.36"/>
  </r>
  <r>
    <x v="0"/>
    <x v="6"/>
    <n v="27.4"/>
  </r>
  <r>
    <x v="1"/>
    <x v="3"/>
    <n v="24.41"/>
  </r>
  <r>
    <x v="1"/>
    <x v="3"/>
    <n v="24.7"/>
  </r>
  <r>
    <x v="1"/>
    <x v="3"/>
    <n v="24.29"/>
  </r>
  <r>
    <x v="1"/>
    <x v="0"/>
    <n v="24.66"/>
  </r>
  <r>
    <x v="1"/>
    <x v="0"/>
    <n v="24.72"/>
  </r>
  <r>
    <x v="1"/>
    <x v="0"/>
    <n v="24.48"/>
  </r>
  <r>
    <x v="1"/>
    <x v="1"/>
    <n v="26.68"/>
  </r>
  <r>
    <x v="1"/>
    <x v="1"/>
    <n v="26.77"/>
  </r>
  <r>
    <x v="1"/>
    <x v="5"/>
    <n v="26.43"/>
  </r>
  <r>
    <x v="1"/>
    <x v="5"/>
    <n v="26.08"/>
  </r>
  <r>
    <x v="1"/>
    <x v="5"/>
    <n v="26.29"/>
  </r>
  <r>
    <x v="1"/>
    <x v="6"/>
    <n v="26.71"/>
  </r>
  <r>
    <x v="1"/>
    <x v="6"/>
    <n v="26.62"/>
  </r>
  <r>
    <x v="1"/>
    <x v="6"/>
    <n v="26.53"/>
  </r>
  <r>
    <x v="1"/>
    <x v="2"/>
    <n v="23.44"/>
  </r>
  <r>
    <x v="1"/>
    <x v="2"/>
    <n v="23.74"/>
  </r>
  <r>
    <x v="1"/>
    <x v="2"/>
    <n v="24.21"/>
  </r>
  <r>
    <x v="1"/>
    <x v="4"/>
    <n v="27.83"/>
  </r>
  <r>
    <x v="1"/>
    <x v="4"/>
    <n v="27.62"/>
  </r>
  <r>
    <x v="1"/>
    <x v="4"/>
    <n v="27.39"/>
  </r>
  <r>
    <x v="1"/>
    <x v="1"/>
    <n v="26.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x v="0"/>
    <n v="27.98"/>
    <n v="0.46333333333333471"/>
  </r>
  <r>
    <x v="0"/>
    <x v="0"/>
    <n v="27.64"/>
    <n v="0.12333333333333485"/>
  </r>
  <r>
    <x v="0"/>
    <x v="0"/>
    <n v="27.2"/>
    <n v="-0.31666666666666643"/>
  </r>
  <r>
    <x v="0"/>
    <x v="1"/>
    <n v="32.33"/>
    <n v="4.8133333333333326"/>
  </r>
  <r>
    <x v="0"/>
    <x v="1"/>
    <n v="29.05"/>
    <n v="1.533333333333335"/>
  </r>
  <r>
    <x v="0"/>
    <x v="1"/>
    <n v="28.92"/>
    <n v="1.403333333333336"/>
  </r>
  <r>
    <x v="0"/>
    <x v="2"/>
    <n v="28.08"/>
    <n v="0.56333333333333258"/>
  </r>
  <r>
    <x v="0"/>
    <x v="2"/>
    <n v="27.3"/>
    <n v="-0.21666666666666501"/>
  </r>
  <r>
    <x v="0"/>
    <x v="2"/>
    <n v="27.38"/>
    <n v="-0.13666666666666671"/>
  </r>
  <r>
    <x v="0"/>
    <x v="3"/>
    <n v="29.54"/>
    <n v="2.0233333333333334"/>
  </r>
  <r>
    <x v="0"/>
    <x v="3"/>
    <n v="26.68"/>
    <n v="-0.836666666666666"/>
  </r>
  <r>
    <x v="0"/>
    <x v="3"/>
    <n v="26.71"/>
    <n v="-0.80666666666666487"/>
  </r>
  <r>
    <x v="0"/>
    <x v="4"/>
    <n v="29.79"/>
    <n v="2.2733333333333334"/>
  </r>
  <r>
    <x v="0"/>
    <x v="4"/>
    <n v="30.33"/>
    <n v="2.8133333333333326"/>
  </r>
  <r>
    <x v="0"/>
    <x v="4"/>
    <n v="30.14"/>
    <n v="2.6233333333333348"/>
  </r>
  <r>
    <x v="0"/>
    <x v="5"/>
    <n v="31.6"/>
    <n v="4.0833333333333357"/>
  </r>
  <r>
    <x v="0"/>
    <x v="5"/>
    <n v="31.48"/>
    <n v="3.9633333333333347"/>
  </r>
  <r>
    <x v="0"/>
    <x v="5"/>
    <n v="31.3"/>
    <n v="3.783333333333335"/>
  </r>
  <r>
    <x v="0"/>
    <x v="6"/>
    <n v="27.79"/>
    <n v="0.27333333333333343"/>
  </r>
  <r>
    <x v="0"/>
    <x v="6"/>
    <n v="27.36"/>
    <n v="-0.15666666666666629"/>
  </r>
  <r>
    <x v="0"/>
    <x v="6"/>
    <n v="27.4"/>
    <n v="-0.11666666666666714"/>
  </r>
  <r>
    <x v="1"/>
    <x v="3"/>
    <n v="24.41"/>
    <n v="-2.2100000000000009"/>
  </r>
  <r>
    <x v="1"/>
    <x v="3"/>
    <n v="24.7"/>
    <n v="-1.9200000000000017"/>
  </r>
  <r>
    <x v="1"/>
    <x v="3"/>
    <n v="24.29"/>
    <n v="-2.3300000000000018"/>
  </r>
  <r>
    <x v="1"/>
    <x v="0"/>
    <n v="24.66"/>
    <n v="-1.9600000000000009"/>
  </r>
  <r>
    <x v="1"/>
    <x v="0"/>
    <n v="24.72"/>
    <n v="-1.9000000000000021"/>
  </r>
  <r>
    <x v="1"/>
    <x v="0"/>
    <n v="24.48"/>
    <n v="-2.1400000000000006"/>
  </r>
  <r>
    <x v="1"/>
    <x v="1"/>
    <n v="26.68"/>
    <n v="5.9999999999998721E-2"/>
  </r>
  <r>
    <x v="1"/>
    <x v="1"/>
    <n v="26.77"/>
    <n v="0.14999999999999858"/>
  </r>
  <r>
    <x v="1"/>
    <x v="5"/>
    <n v="26.43"/>
    <n v="-0.19000000000000128"/>
  </r>
  <r>
    <x v="1"/>
    <x v="5"/>
    <n v="26.08"/>
    <n v="-0.5400000000000027"/>
  </r>
  <r>
    <x v="1"/>
    <x v="5"/>
    <n v="26.29"/>
    <n v="-0.33000000000000185"/>
  </r>
  <r>
    <x v="1"/>
    <x v="6"/>
    <n v="26.71"/>
    <n v="8.9999999999999858E-2"/>
  </r>
  <r>
    <x v="1"/>
    <x v="6"/>
    <n v="26.62"/>
    <n v="0"/>
  </r>
  <r>
    <x v="1"/>
    <x v="6"/>
    <n v="26.53"/>
    <n v="-8.9999999999999858E-2"/>
  </r>
  <r>
    <x v="1"/>
    <x v="2"/>
    <n v="23.44"/>
    <n v="-3.1799999999999997"/>
  </r>
  <r>
    <x v="1"/>
    <x v="2"/>
    <n v="23.74"/>
    <n v="-2.8800000000000026"/>
  </r>
  <r>
    <x v="1"/>
    <x v="2"/>
    <n v="24.21"/>
    <n v="-2.41"/>
  </r>
  <r>
    <x v="1"/>
    <x v="4"/>
    <n v="27.83"/>
    <n v="1.2099999999999973"/>
  </r>
  <r>
    <x v="1"/>
    <x v="4"/>
    <n v="27.62"/>
    <n v="1"/>
  </r>
  <r>
    <x v="1"/>
    <x v="4"/>
    <n v="27.39"/>
    <n v="0.76999999999999957"/>
  </r>
  <r>
    <x v="1"/>
    <x v="1"/>
    <n v="26.4"/>
    <n v="-0.2200000000000024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x v="0"/>
    <n v="27.98"/>
    <n v="0.46333333333333471"/>
    <n v="2.463333333333336"/>
    <n v="0.18132712567697162"/>
  </r>
  <r>
    <x v="0"/>
    <x v="0"/>
    <n v="27.64"/>
    <n v="0.12333333333333485"/>
    <n v="2.1233333333333362"/>
    <n v="0.22951600499130453"/>
  </r>
  <r>
    <x v="0"/>
    <x v="0"/>
    <n v="27.2"/>
    <n v="-0.31666666666666643"/>
    <n v="1.6833333333333349"/>
    <n v="0.3113624055897054"/>
  </r>
  <r>
    <x v="0"/>
    <x v="1"/>
    <n v="32.33"/>
    <n v="4.8133333333333326"/>
    <n v="4.8166666666666673"/>
    <n v="3.548451340846491E-2"/>
  </r>
  <r>
    <x v="0"/>
    <x v="1"/>
    <n v="29.05"/>
    <n v="1.533333333333335"/>
    <n v="1.53666666666667"/>
    <n v="0.34468091724644362"/>
  </r>
  <r>
    <x v="0"/>
    <x v="1"/>
    <n v="28.92"/>
    <n v="1.403333333333336"/>
    <n v="1.406666666666671"/>
    <n v="0.37718215668755722"/>
  </r>
  <r>
    <x v="0"/>
    <x v="2"/>
    <n v="28.08"/>
    <n v="0.56333333333333258"/>
    <n v="3.3866666666666667"/>
    <n v="9.5611855845249505E-2"/>
  </r>
  <r>
    <x v="0"/>
    <x v="2"/>
    <n v="27.3"/>
    <n v="-0.21666666666666501"/>
    <n v="2.6066666666666691"/>
    <n v="0.16417806948480015"/>
  </r>
  <r>
    <x v="0"/>
    <x v="2"/>
    <n v="27.38"/>
    <n v="-0.13666666666666671"/>
    <n v="2.6866666666666674"/>
    <n v="0.15532191806074161"/>
  </r>
  <r>
    <x v="0"/>
    <x v="3"/>
    <n v="29.54"/>
    <n v="2.0233333333333334"/>
    <n v="4.1766666666666676"/>
    <n v="5.5296551948727846E-2"/>
  </r>
  <r>
    <x v="0"/>
    <x v="3"/>
    <n v="26.68"/>
    <n v="-0.836666666666666"/>
    <n v="1.3166666666666687"/>
    <n v="0.40146144093168773"/>
  </r>
  <r>
    <x v="0"/>
    <x v="3"/>
    <n v="26.71"/>
    <n v="-0.80666666666666487"/>
    <n v="1.3466666666666698"/>
    <n v="0.39319948394698967"/>
  </r>
  <r>
    <x v="0"/>
    <x v="4"/>
    <n v="29.79"/>
    <n v="2.2733333333333334"/>
    <n v="1.2800000000000011"/>
    <n v="0.41179550863378622"/>
  </r>
  <r>
    <x v="0"/>
    <x v="4"/>
    <n v="30.33"/>
    <n v="2.8133333333333326"/>
    <n v="1.8200000000000003"/>
    <n v="0.28322097132394958"/>
  </r>
  <r>
    <x v="0"/>
    <x v="4"/>
    <n v="30.14"/>
    <n v="2.6233333333333348"/>
    <n v="1.6300000000000026"/>
    <n v="0.32308820765937246"/>
  </r>
  <r>
    <x v="0"/>
    <x v="5"/>
    <n v="31.6"/>
    <n v="4.0833333333333357"/>
    <n v="4.436666666666671"/>
    <n v="4.6177482518425766E-2"/>
  </r>
  <r>
    <x v="0"/>
    <x v="5"/>
    <n v="31.48"/>
    <n v="3.9633333333333347"/>
    <n v="4.31666666666667"/>
    <n v="5.0182680116460932E-2"/>
  </r>
  <r>
    <x v="0"/>
    <x v="5"/>
    <n v="31.3"/>
    <n v="3.783333333333335"/>
    <n v="4.1366666666666703"/>
    <n v="5.6851149624892447E-2"/>
  </r>
  <r>
    <x v="0"/>
    <x v="6"/>
    <n v="27.79"/>
    <n v="0.27333333333333343"/>
    <n v="0.27333333333333343"/>
    <n v="0.82740562270001272"/>
  </r>
  <r>
    <x v="0"/>
    <x v="6"/>
    <n v="27.36"/>
    <n v="-0.15666666666666629"/>
    <n v="-0.15666666666666629"/>
    <n v="1.1147086365889216"/>
  </r>
  <r>
    <x v="0"/>
    <x v="6"/>
    <n v="27.4"/>
    <n v="-0.11666666666666714"/>
    <n v="-0.11666666666666714"/>
    <n v="1.0842268703014186"/>
  </r>
  <r>
    <x v="1"/>
    <x v="3"/>
    <n v="24.41"/>
    <n v="-2.2100000000000009"/>
    <n v="-5.6666666666666199E-2"/>
    <n v="1.0400599338884775"/>
  </r>
  <r>
    <x v="1"/>
    <x v="3"/>
    <n v="24.7"/>
    <n v="-1.9200000000000017"/>
    <n v="0.23333333333333295"/>
    <n v="0.85066716095085604"/>
  </r>
  <r>
    <x v="1"/>
    <x v="3"/>
    <n v="24.29"/>
    <n v="-2.3300000000000018"/>
    <n v="-0.17666666666666719"/>
    <n v="1.1302693892731563"/>
  </r>
  <r>
    <x v="1"/>
    <x v="0"/>
    <n v="24.66"/>
    <n v="-1.9600000000000009"/>
    <n v="4.000000000000048E-2"/>
    <n v="0.97265494741228531"/>
  </r>
  <r>
    <x v="1"/>
    <x v="0"/>
    <n v="24.72"/>
    <n v="-1.9000000000000021"/>
    <n v="9.9999999999999201E-2"/>
    <n v="0.93303299153680808"/>
  </r>
  <r>
    <x v="1"/>
    <x v="0"/>
    <n v="24.48"/>
    <n v="-2.1400000000000006"/>
    <n v="-0.13999999999999924"/>
    <n v="1.1019051158766102"/>
  </r>
  <r>
    <x v="1"/>
    <x v="1"/>
    <n v="26.68"/>
    <n v="5.9999999999998721E-2"/>
    <n v="6.3333333333333755E-2"/>
    <n v="0.95705030707390093"/>
  </r>
  <r>
    <x v="1"/>
    <x v="1"/>
    <n v="26.77"/>
    <n v="0.14999999999999858"/>
    <n v="0.15333333333333363"/>
    <n v="0.89917053563818561"/>
  </r>
  <r>
    <x v="1"/>
    <x v="5"/>
    <n v="26.43"/>
    <n v="-0.19000000000000128"/>
    <n v="0.163333333333334"/>
    <n v="0.89295951106038185"/>
  </r>
  <r>
    <x v="1"/>
    <x v="5"/>
    <n v="26.08"/>
    <n v="-0.5400000000000027"/>
    <n v="-0.18666666666666742"/>
    <n v="1.1381310345878231"/>
  </r>
  <r>
    <x v="1"/>
    <x v="5"/>
    <n v="26.29"/>
    <n v="-0.33000000000000185"/>
    <n v="2.3333333333333428E-2"/>
    <n v="0.98395665350811201"/>
  </r>
  <r>
    <x v="1"/>
    <x v="6"/>
    <n v="26.71"/>
    <n v="8.9999999999999858E-2"/>
    <n v="8.9999999999999858E-2"/>
    <n v="0.93952274921401191"/>
  </r>
  <r>
    <x v="1"/>
    <x v="6"/>
    <n v="26.62"/>
    <n v="0"/>
    <n v="0"/>
    <n v="1"/>
  </r>
  <r>
    <x v="1"/>
    <x v="6"/>
    <n v="26.53"/>
    <n v="-8.9999999999999858E-2"/>
    <n v="-8.9999999999999858E-2"/>
    <n v="1.0643701824533598"/>
  </r>
  <r>
    <x v="1"/>
    <x v="2"/>
    <n v="23.44"/>
    <n v="-3.1799999999999997"/>
    <n v="-0.35666666666666558"/>
    <n v="1.2804639771506814"/>
  </r>
  <r>
    <x v="1"/>
    <x v="2"/>
    <n v="23.74"/>
    <n v="-2.8800000000000026"/>
    <n v="-5.6666666666668419E-2"/>
    <n v="1.0400599338884791"/>
  </r>
  <r>
    <x v="1"/>
    <x v="2"/>
    <n v="24.21"/>
    <n v="-2.41"/>
    <n v="0.413333333333334"/>
    <n v="0.75088645181738467"/>
  </r>
  <r>
    <x v="1"/>
    <x v="4"/>
    <n v="27.83"/>
    <n v="1.2099999999999973"/>
    <n v="0.21666666666666501"/>
    <n v="0.86055143724433103"/>
  </r>
  <r>
    <x v="1"/>
    <x v="4"/>
    <n v="27.62"/>
    <n v="1"/>
    <n v="6.6666666666677088E-3"/>
    <n v="0.9953896791032284"/>
  </r>
  <r>
    <x v="1"/>
    <x v="4"/>
    <n v="27.39"/>
    <n v="0.76999999999999957"/>
    <n v="-0.22333333333333272"/>
    <n v="1.1674278037569712"/>
  </r>
  <r>
    <x v="1"/>
    <x v="1"/>
    <n v="26.4"/>
    <n v="-0.22000000000000242"/>
    <n v="-0.21666666666666737"/>
    <n v="1.162045586957840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">
  <r>
    <x v="0"/>
    <x v="0"/>
    <n v="27.98"/>
    <n v="0.46333333333333471"/>
    <n v="2.463333333333336"/>
    <n v="0.18132712567697162"/>
  </r>
  <r>
    <x v="0"/>
    <x v="0"/>
    <n v="27.64"/>
    <n v="0.12333333333333485"/>
    <n v="2.1233333333333362"/>
    <n v="0.22951600499130453"/>
  </r>
  <r>
    <x v="0"/>
    <x v="0"/>
    <n v="27.2"/>
    <n v="-0.31666666666666643"/>
    <n v="1.6833333333333349"/>
    <n v="0.3113624055897054"/>
  </r>
  <r>
    <x v="0"/>
    <x v="1"/>
    <n v="32.33"/>
    <n v="4.8133333333333326"/>
    <n v="4.8166666666666673"/>
    <n v="3.548451340846491E-2"/>
  </r>
  <r>
    <x v="0"/>
    <x v="1"/>
    <n v="29.05"/>
    <n v="1.533333333333335"/>
    <n v="1.53666666666667"/>
    <n v="0.34468091724644362"/>
  </r>
  <r>
    <x v="0"/>
    <x v="1"/>
    <n v="28.92"/>
    <n v="1.403333333333336"/>
    <n v="1.406666666666671"/>
    <n v="0.37718215668755722"/>
  </r>
  <r>
    <x v="0"/>
    <x v="2"/>
    <n v="28.08"/>
    <n v="0.56333333333333258"/>
    <n v="3.3866666666666667"/>
    <n v="9.5611855845249505E-2"/>
  </r>
  <r>
    <x v="0"/>
    <x v="2"/>
    <n v="27.3"/>
    <n v="-0.21666666666666501"/>
    <n v="2.6066666666666691"/>
    <n v="0.16417806948480015"/>
  </r>
  <r>
    <x v="0"/>
    <x v="2"/>
    <n v="27.38"/>
    <n v="-0.13666666666666671"/>
    <n v="2.6866666666666674"/>
    <n v="0.15532191806074161"/>
  </r>
  <r>
    <x v="0"/>
    <x v="3"/>
    <n v="29.54"/>
    <n v="2.0233333333333334"/>
    <n v="4.1766666666666676"/>
    <n v="5.5296551948727846E-2"/>
  </r>
  <r>
    <x v="0"/>
    <x v="3"/>
    <n v="26.68"/>
    <n v="-0.836666666666666"/>
    <n v="1.3166666666666687"/>
    <n v="0.40146144093168773"/>
  </r>
  <r>
    <x v="0"/>
    <x v="3"/>
    <n v="26.71"/>
    <n v="-0.80666666666666487"/>
    <n v="1.3466666666666698"/>
    <n v="0.39319948394698967"/>
  </r>
  <r>
    <x v="0"/>
    <x v="4"/>
    <n v="29.79"/>
    <n v="2.2733333333333334"/>
    <n v="1.2800000000000011"/>
    <n v="0.41179550863378622"/>
  </r>
  <r>
    <x v="0"/>
    <x v="4"/>
    <n v="30.33"/>
    <n v="2.8133333333333326"/>
    <n v="1.8200000000000003"/>
    <n v="0.28322097132394958"/>
  </r>
  <r>
    <x v="0"/>
    <x v="4"/>
    <n v="30.14"/>
    <n v="2.6233333333333348"/>
    <n v="1.6300000000000026"/>
    <n v="0.32308820765937246"/>
  </r>
  <r>
    <x v="0"/>
    <x v="5"/>
    <n v="31.6"/>
    <n v="4.0833333333333357"/>
    <n v="4.436666666666671"/>
    <n v="4.6177482518425766E-2"/>
  </r>
  <r>
    <x v="0"/>
    <x v="5"/>
    <n v="31.48"/>
    <n v="3.9633333333333347"/>
    <n v="4.31666666666667"/>
    <n v="5.0182680116460932E-2"/>
  </r>
  <r>
    <x v="0"/>
    <x v="5"/>
    <n v="31.3"/>
    <n v="3.783333333333335"/>
    <n v="4.1366666666666703"/>
    <n v="5.6851149624892447E-2"/>
  </r>
  <r>
    <x v="0"/>
    <x v="6"/>
    <n v="27.79"/>
    <n v="0.27333333333333343"/>
    <n v="0.27333333333333343"/>
    <n v="0.82740562270001272"/>
  </r>
  <r>
    <x v="0"/>
    <x v="6"/>
    <n v="27.36"/>
    <n v="-0.15666666666666629"/>
    <n v="-0.15666666666666629"/>
    <n v="1.1147086365889216"/>
  </r>
  <r>
    <x v="0"/>
    <x v="6"/>
    <n v="27.4"/>
    <n v="-0.11666666666666714"/>
    <n v="-0.11666666666666714"/>
    <n v="1.0842268703014186"/>
  </r>
  <r>
    <x v="1"/>
    <x v="3"/>
    <n v="24.41"/>
    <n v="-2.2100000000000009"/>
    <n v="-5.6666666666666199E-2"/>
    <n v="1.0400599338884775"/>
  </r>
  <r>
    <x v="1"/>
    <x v="3"/>
    <n v="24.7"/>
    <n v="-1.9200000000000017"/>
    <n v="0.23333333333333295"/>
    <n v="0.85066716095085604"/>
  </r>
  <r>
    <x v="1"/>
    <x v="3"/>
    <n v="24.29"/>
    <n v="-2.3300000000000018"/>
    <n v="-0.17666666666666719"/>
    <n v="1.1302693892731563"/>
  </r>
  <r>
    <x v="1"/>
    <x v="0"/>
    <n v="24.66"/>
    <n v="-1.9600000000000009"/>
    <n v="4.000000000000048E-2"/>
    <n v="0.97265494741228531"/>
  </r>
  <r>
    <x v="1"/>
    <x v="0"/>
    <n v="24.72"/>
    <n v="-1.9000000000000021"/>
    <n v="9.9999999999999201E-2"/>
    <n v="0.93303299153680808"/>
  </r>
  <r>
    <x v="1"/>
    <x v="0"/>
    <n v="24.48"/>
    <n v="-2.1400000000000006"/>
    <n v="-0.13999999999999924"/>
    <n v="1.1019051158766102"/>
  </r>
  <r>
    <x v="1"/>
    <x v="1"/>
    <n v="26.68"/>
    <n v="5.9999999999998721E-2"/>
    <n v="6.3333333333333755E-2"/>
    <n v="0.95705030707390093"/>
  </r>
  <r>
    <x v="1"/>
    <x v="1"/>
    <n v="26.77"/>
    <n v="0.14999999999999858"/>
    <n v="0.15333333333333363"/>
    <n v="0.89917053563818561"/>
  </r>
  <r>
    <x v="1"/>
    <x v="5"/>
    <n v="26.43"/>
    <n v="-0.19000000000000128"/>
    <n v="0.163333333333334"/>
    <n v="0.89295951106038185"/>
  </r>
  <r>
    <x v="1"/>
    <x v="5"/>
    <n v="26.08"/>
    <n v="-0.5400000000000027"/>
    <n v="-0.18666666666666742"/>
    <n v="1.1381310345878231"/>
  </r>
  <r>
    <x v="1"/>
    <x v="5"/>
    <n v="26.29"/>
    <n v="-0.33000000000000185"/>
    <n v="2.3333333333333428E-2"/>
    <n v="0.98395665350811201"/>
  </r>
  <r>
    <x v="1"/>
    <x v="6"/>
    <n v="26.71"/>
    <n v="8.9999999999999858E-2"/>
    <n v="8.9999999999999858E-2"/>
    <n v="0.93952274921401191"/>
  </r>
  <r>
    <x v="1"/>
    <x v="6"/>
    <n v="26.62"/>
    <n v="0"/>
    <n v="0"/>
    <n v="1"/>
  </r>
  <r>
    <x v="1"/>
    <x v="6"/>
    <n v="26.53"/>
    <n v="-8.9999999999999858E-2"/>
    <n v="-8.9999999999999858E-2"/>
    <n v="1.0643701824533598"/>
  </r>
  <r>
    <x v="1"/>
    <x v="2"/>
    <n v="23.44"/>
    <n v="-3.1799999999999997"/>
    <n v="-0.35666666666666558"/>
    <n v="1.2804639771506814"/>
  </r>
  <r>
    <x v="1"/>
    <x v="2"/>
    <n v="23.74"/>
    <n v="-2.8800000000000026"/>
    <n v="-5.6666666666668419E-2"/>
    <n v="1.0400599338884791"/>
  </r>
  <r>
    <x v="1"/>
    <x v="2"/>
    <n v="24.21"/>
    <n v="-2.41"/>
    <n v="0.413333333333334"/>
    <n v="0.75088645181738467"/>
  </r>
  <r>
    <x v="1"/>
    <x v="4"/>
    <n v="27.83"/>
    <n v="1.2099999999999973"/>
    <n v="0.21666666666666501"/>
    <n v="0.86055143724433103"/>
  </r>
  <r>
    <x v="1"/>
    <x v="4"/>
    <n v="27.62"/>
    <n v="1"/>
    <n v="6.6666666666677088E-3"/>
    <n v="0.9953896791032284"/>
  </r>
  <r>
    <x v="1"/>
    <x v="4"/>
    <n v="27.39"/>
    <n v="0.76999999999999957"/>
    <n v="-0.22333333333333272"/>
    <n v="1.1674278037569712"/>
  </r>
  <r>
    <x v="1"/>
    <x v="1"/>
    <n v="26.4"/>
    <n v="-0.22000000000000242"/>
    <n v="-0.21666666666666737"/>
    <n v="1.16204558695784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6A8D2B-142F-49B9-B3EB-ACE9E2D2B90D}" name="sd_expr" cacheId="44" applyNumberFormats="0" applyBorderFormats="0" applyFontFormats="0" applyPatternFormats="0" applyAlignmentFormats="0" applyWidthHeightFormats="1" dataCaption="值" updatedVersion="8" minRefreshableVersion="3" showCalcMbrs="0" useAutoFormatting="1" rowGrandTotals="0" colGrandTotals="0" itemPrintTitles="1" createdVersion="3" indent="0" compact="0" outline="1" outlineData="1" compactData="0" multipleFieldFilters="0">
  <location ref="B20:H23" firstHeaderRow="1" firstDataRow="2" firstDataCol="1"/>
  <pivotFields count="6">
    <pivotField axis="axisRow" compact="0" showAll="0">
      <items count="3">
        <item x="0"/>
        <item x="1"/>
        <item t="default"/>
      </items>
    </pivotField>
    <pivotField axis="axisCol" compact="0" showAll="0">
      <items count="8">
        <item x="2"/>
        <item x="5"/>
        <item x="3"/>
        <item x="1"/>
        <item x="0"/>
        <item x="4"/>
        <item h="1" x="6"/>
        <item t="default"/>
      </items>
    </pivotField>
    <pivotField compact="0" showAll="0"/>
    <pivotField compact="0" numFmtId="176" showAll="0"/>
    <pivotField compact="0" numFmtId="176" showAll="0"/>
    <pivotField dataField="1" compact="0" numFmtId="176" showAll="0"/>
  </pivotFields>
  <rowFields count="1">
    <field x="0"/>
  </rowFields>
  <rowItems count="2">
    <i>
      <x/>
    </i>
    <i>
      <x v="1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标准偏差项:expr" fld="5" subtotal="stdDev" baseField="0" baseItem="0" numFmtId="176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8EA523-C016-4977-9D74-FB5408C87210}" name="mean_expr" cacheId="39" applyNumberFormats="0" applyBorderFormats="0" applyFontFormats="0" applyPatternFormats="0" applyAlignmentFormats="0" applyWidthHeightFormats="1" dataCaption="值" updatedVersion="8" minRefreshableVersion="3" showCalcMbrs="0" useAutoFormatting="1" rowGrandTotals="0" colGrandTotals="0" itemPrintTitles="1" createdVersion="3" indent="0" compact="0" outline="1" outlineData="1" compactData="0" multipleFieldFilters="0" chartFormat="1">
  <location ref="B14:H17" firstHeaderRow="1" firstDataRow="2" firstDataCol="1"/>
  <pivotFields count="6">
    <pivotField axis="axisRow" compact="0" showAll="0">
      <items count="3">
        <item x="0"/>
        <item x="1"/>
        <item t="default"/>
      </items>
    </pivotField>
    <pivotField axis="axisCol" compact="0" showAll="0">
      <items count="8">
        <item x="2"/>
        <item x="5"/>
        <item x="3"/>
        <item x="1"/>
        <item x="0"/>
        <item x="4"/>
        <item h="1" x="6"/>
        <item t="default"/>
      </items>
    </pivotField>
    <pivotField compact="0" showAll="0"/>
    <pivotField compact="0" numFmtId="176" showAll="0"/>
    <pivotField compact="0" numFmtId="176" showAll="0"/>
    <pivotField dataField="1" compact="0" numFmtId="176" showAll="0"/>
  </pivotFields>
  <rowFields count="1">
    <field x="0"/>
  </rowFields>
  <rowItems count="2">
    <i>
      <x/>
    </i>
    <i>
      <x v="1"/>
    </i>
  </rowItems>
  <colFields count="1">
    <field x="1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平均值项:expr" fld="5" subtotal="average" baseField="0" baseItem="0" numFmtId="176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EC5565-4DD5-4C9C-8B75-1CB8B1D869AA}" name="mean_dct" cacheId="34" applyNumberFormats="0" applyBorderFormats="0" applyFontFormats="0" applyPatternFormats="0" applyAlignmentFormats="0" applyWidthHeightFormats="1" dataCaption="值" updatedVersion="8" minRefreshableVersion="3" showCalcMbrs="0" useAutoFormatting="1" rowGrandTotals="0" colGrandTotals="0" itemPrintTitles="1" createdVersion="3" indent="0" compact="0" outline="1" outlineData="1" compactData="0" multipleFieldFilters="0">
  <location ref="B8:I11" firstHeaderRow="1" firstDataRow="2" firstDataCol="1"/>
  <pivotFields count="4">
    <pivotField axis="axisRow" compact="0" showAll="0">
      <items count="3">
        <item x="0"/>
        <item x="1"/>
        <item t="default"/>
      </items>
    </pivotField>
    <pivotField axis="axisCol" compact="0" showAll="0">
      <items count="8">
        <item x="2"/>
        <item x="5"/>
        <item x="3"/>
        <item x="1"/>
        <item x="0"/>
        <item x="4"/>
        <item x="6"/>
        <item t="default"/>
      </items>
    </pivotField>
    <pivotField compact="0" showAll="0"/>
    <pivotField dataField="1" compact="0" numFmtId="176" showAll="0"/>
  </pivotFields>
  <rowFields count="1">
    <field x="0"/>
  </rowFields>
  <rowItems count="2">
    <i>
      <x/>
    </i>
    <i>
      <x v="1"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>
      <x v="6"/>
    </i>
  </colItems>
  <dataFields count="1">
    <dataField name="平均值项:dCt" fld="3" subtotal="average" baseField="0" baseItem="0" numFmtId="176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1B6413-B90B-432B-8492-BF4F0B0E0653}" name="mean_ct" cacheId="29" applyNumberFormats="0" applyBorderFormats="0" applyFontFormats="0" applyPatternFormats="0" applyAlignmentFormats="0" applyWidthHeightFormats="1" dataCaption="值" updatedVersion="8" minRefreshableVersion="3" showCalcMbrs="0" useAutoFormatting="1" rowGrandTotals="0" colGrandTotals="0" itemPrintTitles="1" createdVersion="3" indent="0" compact="0" outline="1" outlineData="1" compactData="0" multipleFieldFilters="0">
  <location ref="B2:I5" firstHeaderRow="1" firstDataRow="2" firstDataCol="1"/>
  <pivotFields count="3">
    <pivotField axis="axisRow" compact="0" showAll="0">
      <items count="3">
        <item x="0"/>
        <item x="1"/>
        <item t="default"/>
      </items>
    </pivotField>
    <pivotField axis="axisCol" compact="0" showAll="0">
      <items count="8">
        <item x="2"/>
        <item x="5"/>
        <item x="3"/>
        <item x="1"/>
        <item x="0"/>
        <item x="4"/>
        <item x="6"/>
        <item t="default"/>
      </items>
    </pivotField>
    <pivotField dataField="1" compact="0" showAll="0"/>
  </pivotFields>
  <rowFields count="1">
    <field x="0"/>
  </rowFields>
  <rowItems count="2">
    <i>
      <x/>
    </i>
    <i>
      <x v="1"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>
      <x v="6"/>
    </i>
  </colItems>
  <dataFields count="1">
    <dataField name="平均值项:Ct" fld="2" subtotal="average" baseField="0" baseItem="0" numFmtId="176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95"/>
  <sheetViews>
    <sheetView showGridLines="0" tabSelected="1" topLeftCell="A17" zoomScale="85" zoomScaleNormal="85" workbookViewId="0">
      <selection activeCell="F2" sqref="F2:F43"/>
    </sheetView>
  </sheetViews>
  <sheetFormatPr defaultColWidth="9.08203125" defaultRowHeight="20.149999999999999" customHeight="1" x14ac:dyDescent="0.35"/>
  <cols>
    <col min="1" max="1" width="20.25" style="39" customWidth="1"/>
    <col min="2" max="2" width="16.83203125" style="39" customWidth="1"/>
    <col min="3" max="3" width="9.08203125" style="39"/>
    <col min="4" max="4" width="13.83203125" style="40" customWidth="1"/>
    <col min="5" max="5" width="14.58203125" style="40" customWidth="1"/>
    <col min="6" max="6" width="12.08203125" style="41" customWidth="1"/>
    <col min="7" max="7" width="8.75" style="4" customWidth="1"/>
    <col min="8" max="8" width="41.58203125" style="18" customWidth="1"/>
    <col min="9" max="9" width="31" style="18" customWidth="1"/>
    <col min="10" max="10" width="46.25" style="18" customWidth="1"/>
    <col min="11" max="16384" width="9.08203125" style="4"/>
  </cols>
  <sheetData>
    <row r="1" spans="1:10" s="3" customFormat="1" ht="30.75" customHeight="1" x14ac:dyDescent="0.3">
      <c r="A1" s="31" t="s">
        <v>1</v>
      </c>
      <c r="B1" s="31" t="s">
        <v>2</v>
      </c>
      <c r="C1" s="31" t="s">
        <v>0</v>
      </c>
      <c r="D1" s="32" t="s">
        <v>22</v>
      </c>
      <c r="E1" s="32" t="s">
        <v>23</v>
      </c>
      <c r="F1" s="33" t="s">
        <v>21</v>
      </c>
      <c r="H1" s="42" t="s">
        <v>3</v>
      </c>
      <c r="I1" s="43"/>
      <c r="J1" s="44"/>
    </row>
    <row r="2" spans="1:10" ht="20.149999999999999" customHeight="1" thickBot="1" x14ac:dyDescent="0.4">
      <c r="A2" t="s">
        <v>32</v>
      </c>
      <c r="B2" t="s">
        <v>26</v>
      </c>
      <c r="C2">
        <v>27.98</v>
      </c>
      <c r="D2" s="2">
        <f>C2-GETPIVOTDATA("Ct",Result!$B$2,"SampleName",A2,"TargetName",$I$6)</f>
        <v>0.46333333333333471</v>
      </c>
      <c r="E2" s="36">
        <f>D2-GETPIVOTDATA("dCt",Result!$B$8,"SampleName",$I$5,"TargetName",B2)</f>
        <v>2.463333333333336</v>
      </c>
      <c r="F2" s="36">
        <f>2^(-E2)</f>
        <v>0.18132712567697162</v>
      </c>
      <c r="H2" s="45" t="s">
        <v>16</v>
      </c>
      <c r="I2" s="46"/>
      <c r="J2" s="47"/>
    </row>
    <row r="3" spans="1:10" ht="20.149999999999999" customHeight="1" x14ac:dyDescent="0.35">
      <c r="A3" t="s">
        <v>32</v>
      </c>
      <c r="B3" t="s">
        <v>26</v>
      </c>
      <c r="C3">
        <v>27.64</v>
      </c>
      <c r="D3" s="2">
        <f>C3-GETPIVOTDATA("Ct",Result!$B$2,"SampleName",A3,"TargetName",$I$6)</f>
        <v>0.12333333333333485</v>
      </c>
      <c r="E3" s="36">
        <f>D3-GETPIVOTDATA("dCt",Result!$B$8,"SampleName",$I$5,"TargetName",B3)</f>
        <v>2.1233333333333362</v>
      </c>
      <c r="F3" s="36">
        <f t="shared" ref="F3:F43" si="0">2^(-E3)</f>
        <v>0.22951600499130453</v>
      </c>
      <c r="H3" s="19" t="s">
        <v>10</v>
      </c>
      <c r="I3" s="5"/>
      <c r="J3" s="6"/>
    </row>
    <row r="4" spans="1:10" ht="20.149999999999999" customHeight="1" x14ac:dyDescent="0.35">
      <c r="A4" t="s">
        <v>32</v>
      </c>
      <c r="B4" t="s">
        <v>26</v>
      </c>
      <c r="C4">
        <v>27.2</v>
      </c>
      <c r="D4" s="2">
        <f>C4-GETPIVOTDATA("Ct",Result!$B$2,"SampleName",A4,"TargetName",$I$6)</f>
        <v>-0.31666666666666643</v>
      </c>
      <c r="E4" s="36">
        <f>D4-GETPIVOTDATA("dCt",Result!$B$8,"SampleName",$I$5,"TargetName",B4)</f>
        <v>1.6833333333333349</v>
      </c>
      <c r="F4" s="36">
        <f t="shared" si="0"/>
        <v>0.3113624055897054</v>
      </c>
      <c r="H4" s="20" t="s">
        <v>12</v>
      </c>
      <c r="I4" s="7"/>
      <c r="J4" s="8"/>
    </row>
    <row r="5" spans="1:10" ht="18.75" customHeight="1" x14ac:dyDescent="0.35">
      <c r="A5" t="s">
        <v>32</v>
      </c>
      <c r="B5" t="s">
        <v>27</v>
      </c>
      <c r="C5">
        <v>32.33</v>
      </c>
      <c r="D5" s="2">
        <f>C5-GETPIVOTDATA("Ct",Result!$B$2,"SampleName",A5,"TargetName",$I$6)</f>
        <v>4.8133333333333326</v>
      </c>
      <c r="E5" s="36">
        <f>D5-GETPIVOTDATA("dCt",Result!$B$8,"SampleName",$I$5,"TargetName",B5)</f>
        <v>4.8166666666666673</v>
      </c>
      <c r="F5" s="36">
        <f t="shared" si="0"/>
        <v>3.548451340846491E-2</v>
      </c>
      <c r="H5" s="9" t="s">
        <v>7</v>
      </c>
      <c r="I5" t="s">
        <v>31</v>
      </c>
      <c r="J5" s="8"/>
    </row>
    <row r="6" spans="1:10" ht="20.149999999999999" customHeight="1" x14ac:dyDescent="0.35">
      <c r="A6" t="s">
        <v>32</v>
      </c>
      <c r="B6" t="s">
        <v>27</v>
      </c>
      <c r="C6">
        <v>29.05</v>
      </c>
      <c r="D6" s="2">
        <f>C6-GETPIVOTDATA("Ct",Result!$B$2,"SampleName",A6,"TargetName",$I$6)</f>
        <v>1.533333333333335</v>
      </c>
      <c r="E6" s="36">
        <f>D6-GETPIVOTDATA("dCt",Result!$B$8,"SampleName",$I$5,"TargetName",B6)</f>
        <v>1.53666666666667</v>
      </c>
      <c r="F6" s="36">
        <f t="shared" si="0"/>
        <v>0.34468091724644362</v>
      </c>
      <c r="H6" s="9" t="s">
        <v>6</v>
      </c>
      <c r="I6" t="s">
        <v>24</v>
      </c>
      <c r="J6" s="8"/>
    </row>
    <row r="7" spans="1:10" ht="20.149999999999999" customHeight="1" thickBot="1" x14ac:dyDescent="0.4">
      <c r="A7" t="s">
        <v>32</v>
      </c>
      <c r="B7" t="s">
        <v>27</v>
      </c>
      <c r="C7">
        <v>28.92</v>
      </c>
      <c r="D7" s="2">
        <f>C7-GETPIVOTDATA("Ct",Result!$B$2,"SampleName",A7,"TargetName",$I$6)</f>
        <v>1.403333333333336</v>
      </c>
      <c r="E7" s="36">
        <f>D7-GETPIVOTDATA("dCt",Result!$B$8,"SampleName",$I$5,"TargetName",B7)</f>
        <v>1.406666666666671</v>
      </c>
      <c r="F7" s="36">
        <f t="shared" si="0"/>
        <v>0.37718215668755722</v>
      </c>
      <c r="H7" s="21" t="s">
        <v>15</v>
      </c>
      <c r="I7" s="10"/>
      <c r="J7" s="11"/>
    </row>
    <row r="8" spans="1:10" ht="20.149999999999999" customHeight="1" x14ac:dyDescent="0.3">
      <c r="A8" t="s">
        <v>32</v>
      </c>
      <c r="B8" t="s">
        <v>28</v>
      </c>
      <c r="C8">
        <v>28.08</v>
      </c>
      <c r="D8" s="2">
        <f>C8-GETPIVOTDATA("Ct",Result!$B$2,"SampleName",A8,"TargetName",$I$6)</f>
        <v>0.56333333333333258</v>
      </c>
      <c r="E8" s="36">
        <f>D8-GETPIVOTDATA("dCt",Result!$B$8,"SampleName",$I$5,"TargetName",B8)</f>
        <v>3.3866666666666667</v>
      </c>
      <c r="F8" s="36">
        <f t="shared" si="0"/>
        <v>9.5611855845249505E-2</v>
      </c>
      <c r="H8" s="22" t="s">
        <v>13</v>
      </c>
      <c r="I8" s="23"/>
      <c r="J8" s="24"/>
    </row>
    <row r="9" spans="1:10" ht="20.149999999999999" customHeight="1" x14ac:dyDescent="0.35">
      <c r="A9" t="s">
        <v>32</v>
      </c>
      <c r="B9" t="s">
        <v>28</v>
      </c>
      <c r="C9">
        <v>27.3</v>
      </c>
      <c r="D9" s="2">
        <f>C9-GETPIVOTDATA("Ct",Result!$B$2,"SampleName",A9,"TargetName",$I$6)</f>
        <v>-0.21666666666666501</v>
      </c>
      <c r="E9" s="36">
        <f>D9-GETPIVOTDATA("dCt",Result!$B$8,"SampleName",$I$5,"TargetName",B9)</f>
        <v>2.6066666666666691</v>
      </c>
      <c r="F9" s="36">
        <f t="shared" si="0"/>
        <v>0.16417806948480015</v>
      </c>
      <c r="H9" s="25" t="s">
        <v>4</v>
      </c>
      <c r="I9" s="12"/>
      <c r="J9" s="13"/>
    </row>
    <row r="10" spans="1:10" ht="20.149999999999999" customHeight="1" x14ac:dyDescent="0.35">
      <c r="A10" t="s">
        <v>32</v>
      </c>
      <c r="B10" t="s">
        <v>28</v>
      </c>
      <c r="C10">
        <v>27.38</v>
      </c>
      <c r="D10" s="2">
        <f>C10-GETPIVOTDATA("Ct",Result!$B$2,"SampleName",A10,"TargetName",$I$6)</f>
        <v>-0.13666666666666671</v>
      </c>
      <c r="E10" s="36">
        <f>D10-GETPIVOTDATA("dCt",Result!$B$8,"SampleName",$I$5,"TargetName",B10)</f>
        <v>2.6866666666666674</v>
      </c>
      <c r="F10" s="36">
        <f t="shared" si="0"/>
        <v>0.15532191806074161</v>
      </c>
      <c r="H10" s="25" t="s">
        <v>14</v>
      </c>
      <c r="I10" s="12"/>
      <c r="J10" s="13"/>
    </row>
    <row r="11" spans="1:10" ht="20.149999999999999" customHeight="1" x14ac:dyDescent="0.35">
      <c r="A11" t="s">
        <v>32</v>
      </c>
      <c r="B11" t="s">
        <v>25</v>
      </c>
      <c r="C11">
        <v>29.54</v>
      </c>
      <c r="D11" s="2">
        <f>C11-GETPIVOTDATA("Ct",Result!$B$2,"SampleName",A11,"TargetName",$I$6)</f>
        <v>2.0233333333333334</v>
      </c>
      <c r="E11" s="36">
        <f>D11-GETPIVOTDATA("dCt",Result!$B$8,"SampleName",$I$5,"TargetName",B11)</f>
        <v>4.1766666666666676</v>
      </c>
      <c r="F11" s="36">
        <f t="shared" si="0"/>
        <v>5.5296551948727846E-2</v>
      </c>
      <c r="H11" s="25" t="s">
        <v>5</v>
      </c>
      <c r="I11" s="12"/>
      <c r="J11" s="13"/>
    </row>
    <row r="12" spans="1:10" ht="20.149999999999999" customHeight="1" x14ac:dyDescent="0.35">
      <c r="A12" t="s">
        <v>32</v>
      </c>
      <c r="B12" t="s">
        <v>25</v>
      </c>
      <c r="C12">
        <v>26.68</v>
      </c>
      <c r="D12" s="2">
        <f>C12-GETPIVOTDATA("Ct",Result!$B$2,"SampleName",A12,"TargetName",$I$6)</f>
        <v>-0.836666666666666</v>
      </c>
      <c r="E12" s="36">
        <f>D12-GETPIVOTDATA("dCt",Result!$B$8,"SampleName",$I$5,"TargetName",B12)</f>
        <v>1.3166666666666687</v>
      </c>
      <c r="F12" s="36">
        <f t="shared" si="0"/>
        <v>0.40146144093168773</v>
      </c>
      <c r="H12" s="26" t="s">
        <v>8</v>
      </c>
      <c r="I12" s="14"/>
      <c r="J12" s="15"/>
    </row>
    <row r="13" spans="1:10" ht="20.149999999999999" customHeight="1" thickBot="1" x14ac:dyDescent="0.4">
      <c r="A13" t="s">
        <v>32</v>
      </c>
      <c r="B13" t="s">
        <v>25</v>
      </c>
      <c r="C13">
        <v>26.71</v>
      </c>
      <c r="D13" s="2">
        <f>C13-GETPIVOTDATA("Ct",Result!$B$2,"SampleName",A13,"TargetName",$I$6)</f>
        <v>-0.80666666666666487</v>
      </c>
      <c r="E13" s="36">
        <f>D13-GETPIVOTDATA("dCt",Result!$B$8,"SampleName",$I$5,"TargetName",B13)</f>
        <v>1.3466666666666698</v>
      </c>
      <c r="F13" s="36">
        <f t="shared" si="0"/>
        <v>0.39319948394698967</v>
      </c>
      <c r="H13" s="27" t="s">
        <v>11</v>
      </c>
      <c r="I13" s="16"/>
      <c r="J13" s="17"/>
    </row>
    <row r="14" spans="1:10" ht="20.149999999999999" customHeight="1" x14ac:dyDescent="0.35">
      <c r="A14" t="s">
        <v>32</v>
      </c>
      <c r="B14" t="s">
        <v>29</v>
      </c>
      <c r="C14">
        <v>29.79</v>
      </c>
      <c r="D14" s="2">
        <f>C14-GETPIVOTDATA("Ct",Result!$B$2,"SampleName",A14,"TargetName",$I$6)</f>
        <v>2.2733333333333334</v>
      </c>
      <c r="E14" s="36">
        <f>D14-GETPIVOTDATA("dCt",Result!$B$8,"SampleName",$I$5,"TargetName",B14)</f>
        <v>1.2800000000000011</v>
      </c>
      <c r="F14" s="36">
        <f t="shared" si="0"/>
        <v>0.41179550863378622</v>
      </c>
    </row>
    <row r="15" spans="1:10" ht="20.149999999999999" customHeight="1" x14ac:dyDescent="0.35">
      <c r="A15" t="s">
        <v>32</v>
      </c>
      <c r="B15" t="s">
        <v>29</v>
      </c>
      <c r="C15">
        <v>30.33</v>
      </c>
      <c r="D15" s="2">
        <f>C15-GETPIVOTDATA("Ct",Result!$B$2,"SampleName",A15,"TargetName",$I$6)</f>
        <v>2.8133333333333326</v>
      </c>
      <c r="E15" s="36">
        <f>D15-GETPIVOTDATA("dCt",Result!$B$8,"SampleName",$I$5,"TargetName",B15)</f>
        <v>1.8200000000000003</v>
      </c>
      <c r="F15" s="36">
        <f t="shared" si="0"/>
        <v>0.28322097132394958</v>
      </c>
    </row>
    <row r="16" spans="1:10" ht="20.149999999999999" customHeight="1" x14ac:dyDescent="0.35">
      <c r="A16" t="s">
        <v>32</v>
      </c>
      <c r="B16" t="s">
        <v>29</v>
      </c>
      <c r="C16">
        <v>30.14</v>
      </c>
      <c r="D16" s="2">
        <f>C16-GETPIVOTDATA("Ct",Result!$B$2,"SampleName",A16,"TargetName",$I$6)</f>
        <v>2.6233333333333348</v>
      </c>
      <c r="E16" s="36">
        <f>D16-GETPIVOTDATA("dCt",Result!$B$8,"SampleName",$I$5,"TargetName",B16)</f>
        <v>1.6300000000000026</v>
      </c>
      <c r="F16" s="36">
        <f t="shared" si="0"/>
        <v>0.32308820765937246</v>
      </c>
    </row>
    <row r="17" spans="1:6" ht="20.149999999999999" customHeight="1" x14ac:dyDescent="0.35">
      <c r="A17" t="s">
        <v>32</v>
      </c>
      <c r="B17" t="s">
        <v>30</v>
      </c>
      <c r="C17">
        <v>31.6</v>
      </c>
      <c r="D17" s="2">
        <f>C17-GETPIVOTDATA("Ct",Result!$B$2,"SampleName",A17,"TargetName",$I$6)</f>
        <v>4.0833333333333357</v>
      </c>
      <c r="E17" s="36">
        <f>D17-GETPIVOTDATA("dCt",Result!$B$8,"SampleName",$I$5,"TargetName",B17)</f>
        <v>4.436666666666671</v>
      </c>
      <c r="F17" s="36">
        <f t="shared" si="0"/>
        <v>4.6177482518425766E-2</v>
      </c>
    </row>
    <row r="18" spans="1:6" ht="20.149999999999999" customHeight="1" x14ac:dyDescent="0.35">
      <c r="A18" t="s">
        <v>32</v>
      </c>
      <c r="B18" t="s">
        <v>30</v>
      </c>
      <c r="C18">
        <v>31.48</v>
      </c>
      <c r="D18" s="2">
        <f>C18-GETPIVOTDATA("Ct",Result!$B$2,"SampleName",A18,"TargetName",$I$6)</f>
        <v>3.9633333333333347</v>
      </c>
      <c r="E18" s="36">
        <f>D18-GETPIVOTDATA("dCt",Result!$B$8,"SampleName",$I$5,"TargetName",B18)</f>
        <v>4.31666666666667</v>
      </c>
      <c r="F18" s="36">
        <f t="shared" si="0"/>
        <v>5.0182680116460932E-2</v>
      </c>
    </row>
    <row r="19" spans="1:6" ht="20.149999999999999" customHeight="1" x14ac:dyDescent="0.35">
      <c r="A19" t="s">
        <v>32</v>
      </c>
      <c r="B19" t="s">
        <v>30</v>
      </c>
      <c r="C19">
        <v>31.3</v>
      </c>
      <c r="D19" s="2">
        <f>C19-GETPIVOTDATA("Ct",Result!$B$2,"SampleName",A19,"TargetName",$I$6)</f>
        <v>3.783333333333335</v>
      </c>
      <c r="E19" s="36">
        <f>D19-GETPIVOTDATA("dCt",Result!$B$8,"SampleName",$I$5,"TargetName",B19)</f>
        <v>4.1366666666666703</v>
      </c>
      <c r="F19" s="36">
        <f t="shared" si="0"/>
        <v>5.6851149624892447E-2</v>
      </c>
    </row>
    <row r="20" spans="1:6" ht="20.149999999999999" customHeight="1" x14ac:dyDescent="0.35">
      <c r="A20" t="s">
        <v>32</v>
      </c>
      <c r="B20" t="s">
        <v>24</v>
      </c>
      <c r="C20">
        <v>27.79</v>
      </c>
      <c r="D20" s="2">
        <f>C20-GETPIVOTDATA("Ct",Result!$B$2,"SampleName",A20,"TargetName",$I$6)</f>
        <v>0.27333333333333343</v>
      </c>
      <c r="E20" s="36">
        <f>D20-GETPIVOTDATA("dCt",Result!$B$8,"SampleName",$I$5,"TargetName",B20)</f>
        <v>0.27333333333333343</v>
      </c>
      <c r="F20" s="36">
        <f t="shared" si="0"/>
        <v>0.82740562270001272</v>
      </c>
    </row>
    <row r="21" spans="1:6" ht="20.149999999999999" customHeight="1" x14ac:dyDescent="0.35">
      <c r="A21" t="s">
        <v>32</v>
      </c>
      <c r="B21" t="s">
        <v>24</v>
      </c>
      <c r="C21">
        <v>27.36</v>
      </c>
      <c r="D21" s="2">
        <f>C21-GETPIVOTDATA("Ct",Result!$B$2,"SampleName",A21,"TargetName",$I$6)</f>
        <v>-0.15666666666666629</v>
      </c>
      <c r="E21" s="36">
        <f>D21-GETPIVOTDATA("dCt",Result!$B$8,"SampleName",$I$5,"TargetName",B21)</f>
        <v>-0.15666666666666629</v>
      </c>
      <c r="F21" s="36">
        <f t="shared" si="0"/>
        <v>1.1147086365889216</v>
      </c>
    </row>
    <row r="22" spans="1:6" ht="20.149999999999999" customHeight="1" x14ac:dyDescent="0.35">
      <c r="A22" t="s">
        <v>32</v>
      </c>
      <c r="B22" t="s">
        <v>24</v>
      </c>
      <c r="C22">
        <v>27.4</v>
      </c>
      <c r="D22" s="2">
        <f>C22-GETPIVOTDATA("Ct",Result!$B$2,"SampleName",A22,"TargetName",$I$6)</f>
        <v>-0.11666666666666714</v>
      </c>
      <c r="E22" s="36">
        <f>D22-GETPIVOTDATA("dCt",Result!$B$8,"SampleName",$I$5,"TargetName",B22)</f>
        <v>-0.11666666666666714</v>
      </c>
      <c r="F22" s="36">
        <f t="shared" si="0"/>
        <v>1.0842268703014186</v>
      </c>
    </row>
    <row r="23" spans="1:6" ht="20.149999999999999" customHeight="1" x14ac:dyDescent="0.35">
      <c r="A23" t="s">
        <v>31</v>
      </c>
      <c r="B23" t="s">
        <v>25</v>
      </c>
      <c r="C23">
        <v>24.41</v>
      </c>
      <c r="D23" s="2">
        <f>C23-GETPIVOTDATA("Ct",Result!$B$2,"SampleName",A23,"TargetName",$I$6)</f>
        <v>-2.2100000000000009</v>
      </c>
      <c r="E23" s="36">
        <f>D23-GETPIVOTDATA("dCt",Result!$B$8,"SampleName",$I$5,"TargetName",B23)</f>
        <v>-5.6666666666666199E-2</v>
      </c>
      <c r="F23" s="36">
        <f t="shared" si="0"/>
        <v>1.0400599338884775</v>
      </c>
    </row>
    <row r="24" spans="1:6" ht="20.149999999999999" customHeight="1" x14ac:dyDescent="0.35">
      <c r="A24" t="s">
        <v>31</v>
      </c>
      <c r="B24" t="s">
        <v>25</v>
      </c>
      <c r="C24">
        <v>24.7</v>
      </c>
      <c r="D24" s="2">
        <f>C24-GETPIVOTDATA("Ct",Result!$B$2,"SampleName",A24,"TargetName",$I$6)</f>
        <v>-1.9200000000000017</v>
      </c>
      <c r="E24" s="36">
        <f>D24-GETPIVOTDATA("dCt",Result!$B$8,"SampleName",$I$5,"TargetName",B24)</f>
        <v>0.23333333333333295</v>
      </c>
      <c r="F24" s="36">
        <f t="shared" si="0"/>
        <v>0.85066716095085604</v>
      </c>
    </row>
    <row r="25" spans="1:6" ht="20.149999999999999" customHeight="1" x14ac:dyDescent="0.35">
      <c r="A25" t="s">
        <v>31</v>
      </c>
      <c r="B25" t="s">
        <v>25</v>
      </c>
      <c r="C25">
        <v>24.29</v>
      </c>
      <c r="D25" s="2">
        <f>C25-GETPIVOTDATA("Ct",Result!$B$2,"SampleName",A25,"TargetName",$I$6)</f>
        <v>-2.3300000000000018</v>
      </c>
      <c r="E25" s="36">
        <f>D25-GETPIVOTDATA("dCt",Result!$B$8,"SampleName",$I$5,"TargetName",B25)</f>
        <v>-0.17666666666666719</v>
      </c>
      <c r="F25" s="36">
        <f t="shared" si="0"/>
        <v>1.1302693892731563</v>
      </c>
    </row>
    <row r="26" spans="1:6" ht="20.149999999999999" customHeight="1" x14ac:dyDescent="0.35">
      <c r="A26" t="s">
        <v>31</v>
      </c>
      <c r="B26" t="s">
        <v>26</v>
      </c>
      <c r="C26">
        <v>24.66</v>
      </c>
      <c r="D26" s="2">
        <f>C26-GETPIVOTDATA("Ct",Result!$B$2,"SampleName",A26,"TargetName",$I$6)</f>
        <v>-1.9600000000000009</v>
      </c>
      <c r="E26" s="36">
        <f>D26-GETPIVOTDATA("dCt",Result!$B$8,"SampleName",$I$5,"TargetName",B26)</f>
        <v>4.000000000000048E-2</v>
      </c>
      <c r="F26" s="36">
        <f t="shared" si="0"/>
        <v>0.97265494741228531</v>
      </c>
    </row>
    <row r="27" spans="1:6" ht="20.149999999999999" customHeight="1" x14ac:dyDescent="0.35">
      <c r="A27" t="s">
        <v>31</v>
      </c>
      <c r="B27" t="s">
        <v>26</v>
      </c>
      <c r="C27">
        <v>24.72</v>
      </c>
      <c r="D27" s="2">
        <f>C27-GETPIVOTDATA("Ct",Result!$B$2,"SampleName",A27,"TargetName",$I$6)</f>
        <v>-1.9000000000000021</v>
      </c>
      <c r="E27" s="36">
        <f>D27-GETPIVOTDATA("dCt",Result!$B$8,"SampleName",$I$5,"TargetName",B27)</f>
        <v>9.9999999999999201E-2</v>
      </c>
      <c r="F27" s="36">
        <f t="shared" si="0"/>
        <v>0.93303299153680808</v>
      </c>
    </row>
    <row r="28" spans="1:6" ht="20.149999999999999" customHeight="1" x14ac:dyDescent="0.35">
      <c r="A28" t="s">
        <v>31</v>
      </c>
      <c r="B28" t="s">
        <v>26</v>
      </c>
      <c r="C28">
        <v>24.48</v>
      </c>
      <c r="D28" s="2">
        <f>C28-GETPIVOTDATA("Ct",Result!$B$2,"SampleName",A28,"TargetName",$I$6)</f>
        <v>-2.1400000000000006</v>
      </c>
      <c r="E28" s="36">
        <f>D28-GETPIVOTDATA("dCt",Result!$B$8,"SampleName",$I$5,"TargetName",B28)</f>
        <v>-0.13999999999999924</v>
      </c>
      <c r="F28" s="36">
        <f t="shared" si="0"/>
        <v>1.1019051158766102</v>
      </c>
    </row>
    <row r="29" spans="1:6" ht="20.149999999999999" customHeight="1" x14ac:dyDescent="0.35">
      <c r="A29" t="s">
        <v>31</v>
      </c>
      <c r="B29" t="s">
        <v>27</v>
      </c>
      <c r="C29">
        <v>26.68</v>
      </c>
      <c r="D29" s="2">
        <f>C29-GETPIVOTDATA("Ct",Result!$B$2,"SampleName",A29,"TargetName",$I$6)</f>
        <v>5.9999999999998721E-2</v>
      </c>
      <c r="E29" s="36">
        <f>D29-GETPIVOTDATA("dCt",Result!$B$8,"SampleName",$I$5,"TargetName",B29)</f>
        <v>6.3333333333333755E-2</v>
      </c>
      <c r="F29" s="36">
        <f t="shared" si="0"/>
        <v>0.95705030707390093</v>
      </c>
    </row>
    <row r="30" spans="1:6" ht="20.149999999999999" customHeight="1" x14ac:dyDescent="0.35">
      <c r="A30" t="s">
        <v>31</v>
      </c>
      <c r="B30" t="s">
        <v>27</v>
      </c>
      <c r="C30">
        <v>26.77</v>
      </c>
      <c r="D30" s="2">
        <f>C30-GETPIVOTDATA("Ct",Result!$B$2,"SampleName",A30,"TargetName",$I$6)</f>
        <v>0.14999999999999858</v>
      </c>
      <c r="E30" s="36">
        <f>D30-GETPIVOTDATA("dCt",Result!$B$8,"SampleName",$I$5,"TargetName",B30)</f>
        <v>0.15333333333333363</v>
      </c>
      <c r="F30" s="36">
        <f t="shared" si="0"/>
        <v>0.89917053563818561</v>
      </c>
    </row>
    <row r="31" spans="1:6" ht="20.149999999999999" customHeight="1" x14ac:dyDescent="0.35">
      <c r="A31" t="s">
        <v>31</v>
      </c>
      <c r="B31" t="s">
        <v>30</v>
      </c>
      <c r="C31">
        <v>26.43</v>
      </c>
      <c r="D31" s="2">
        <f>C31-GETPIVOTDATA("Ct",Result!$B$2,"SampleName",A31,"TargetName",$I$6)</f>
        <v>-0.19000000000000128</v>
      </c>
      <c r="E31" s="36">
        <f>D31-GETPIVOTDATA("dCt",Result!$B$8,"SampleName",$I$5,"TargetName",B31)</f>
        <v>0.163333333333334</v>
      </c>
      <c r="F31" s="36">
        <f t="shared" si="0"/>
        <v>0.89295951106038185</v>
      </c>
    </row>
    <row r="32" spans="1:6" ht="20.149999999999999" customHeight="1" x14ac:dyDescent="0.35">
      <c r="A32" t="s">
        <v>31</v>
      </c>
      <c r="B32" t="s">
        <v>30</v>
      </c>
      <c r="C32">
        <v>26.08</v>
      </c>
      <c r="D32" s="2">
        <f>C32-GETPIVOTDATA("Ct",Result!$B$2,"SampleName",A32,"TargetName",$I$6)</f>
        <v>-0.5400000000000027</v>
      </c>
      <c r="E32" s="36">
        <f>D32-GETPIVOTDATA("dCt",Result!$B$8,"SampleName",$I$5,"TargetName",B32)</f>
        <v>-0.18666666666666742</v>
      </c>
      <c r="F32" s="36">
        <f t="shared" si="0"/>
        <v>1.1381310345878231</v>
      </c>
    </row>
    <row r="33" spans="1:6" ht="20.149999999999999" customHeight="1" x14ac:dyDescent="0.35">
      <c r="A33" t="s">
        <v>31</v>
      </c>
      <c r="B33" t="s">
        <v>30</v>
      </c>
      <c r="C33">
        <v>26.29</v>
      </c>
      <c r="D33" s="2">
        <f>C33-GETPIVOTDATA("Ct",Result!$B$2,"SampleName",A33,"TargetName",$I$6)</f>
        <v>-0.33000000000000185</v>
      </c>
      <c r="E33" s="36">
        <f>D33-GETPIVOTDATA("dCt",Result!$B$8,"SampleName",$I$5,"TargetName",B33)</f>
        <v>2.3333333333333428E-2</v>
      </c>
      <c r="F33" s="36">
        <f t="shared" si="0"/>
        <v>0.98395665350811201</v>
      </c>
    </row>
    <row r="34" spans="1:6" ht="20.149999999999999" customHeight="1" x14ac:dyDescent="0.35">
      <c r="A34" t="s">
        <v>31</v>
      </c>
      <c r="B34" t="s">
        <v>24</v>
      </c>
      <c r="C34">
        <v>26.71</v>
      </c>
      <c r="D34" s="2">
        <f>C34-GETPIVOTDATA("Ct",Result!$B$2,"SampleName",A34,"TargetName",$I$6)</f>
        <v>8.9999999999999858E-2</v>
      </c>
      <c r="E34" s="36">
        <f>D34-GETPIVOTDATA("dCt",Result!$B$8,"SampleName",$I$5,"TargetName",B34)</f>
        <v>8.9999999999999858E-2</v>
      </c>
      <c r="F34" s="36">
        <f t="shared" si="0"/>
        <v>0.93952274921401191</v>
      </c>
    </row>
    <row r="35" spans="1:6" ht="20.149999999999999" customHeight="1" x14ac:dyDescent="0.35">
      <c r="A35" t="s">
        <v>31</v>
      </c>
      <c r="B35" t="s">
        <v>24</v>
      </c>
      <c r="C35">
        <v>26.62</v>
      </c>
      <c r="D35" s="2">
        <f>C35-GETPIVOTDATA("Ct",Result!$B$2,"SampleName",A35,"TargetName",$I$6)</f>
        <v>0</v>
      </c>
      <c r="E35" s="36">
        <f>D35-GETPIVOTDATA("dCt",Result!$B$8,"SampleName",$I$5,"TargetName",B35)</f>
        <v>0</v>
      </c>
      <c r="F35" s="36">
        <f t="shared" si="0"/>
        <v>1</v>
      </c>
    </row>
    <row r="36" spans="1:6" ht="20.149999999999999" customHeight="1" x14ac:dyDescent="0.35">
      <c r="A36" t="s">
        <v>31</v>
      </c>
      <c r="B36" t="s">
        <v>24</v>
      </c>
      <c r="C36">
        <v>26.53</v>
      </c>
      <c r="D36" s="2">
        <f>C36-GETPIVOTDATA("Ct",Result!$B$2,"SampleName",A36,"TargetName",$I$6)</f>
        <v>-8.9999999999999858E-2</v>
      </c>
      <c r="E36" s="36">
        <f>D36-GETPIVOTDATA("dCt",Result!$B$8,"SampleName",$I$5,"TargetName",B36)</f>
        <v>-8.9999999999999858E-2</v>
      </c>
      <c r="F36" s="36">
        <f t="shared" si="0"/>
        <v>1.0643701824533598</v>
      </c>
    </row>
    <row r="37" spans="1:6" ht="20.149999999999999" customHeight="1" x14ac:dyDescent="0.35">
      <c r="A37" t="s">
        <v>31</v>
      </c>
      <c r="B37" t="s">
        <v>28</v>
      </c>
      <c r="C37">
        <v>23.44</v>
      </c>
      <c r="D37" s="2">
        <f>C37-GETPIVOTDATA("Ct",Result!$B$2,"SampleName",A37,"TargetName",$I$6)</f>
        <v>-3.1799999999999997</v>
      </c>
      <c r="E37" s="36">
        <f>D37-GETPIVOTDATA("dCt",Result!$B$8,"SampleName",$I$5,"TargetName",B37)</f>
        <v>-0.35666666666666558</v>
      </c>
      <c r="F37" s="36">
        <f t="shared" si="0"/>
        <v>1.2804639771506814</v>
      </c>
    </row>
    <row r="38" spans="1:6" ht="20.149999999999999" customHeight="1" x14ac:dyDescent="0.35">
      <c r="A38" t="s">
        <v>31</v>
      </c>
      <c r="B38" t="s">
        <v>28</v>
      </c>
      <c r="C38">
        <v>23.74</v>
      </c>
      <c r="D38" s="2">
        <f>C38-GETPIVOTDATA("Ct",Result!$B$2,"SampleName",A38,"TargetName",$I$6)</f>
        <v>-2.8800000000000026</v>
      </c>
      <c r="E38" s="36">
        <f>D38-GETPIVOTDATA("dCt",Result!$B$8,"SampleName",$I$5,"TargetName",B38)</f>
        <v>-5.6666666666668419E-2</v>
      </c>
      <c r="F38" s="36">
        <f t="shared" si="0"/>
        <v>1.0400599338884791</v>
      </c>
    </row>
    <row r="39" spans="1:6" ht="20.149999999999999" customHeight="1" x14ac:dyDescent="0.35">
      <c r="A39" t="s">
        <v>31</v>
      </c>
      <c r="B39" t="s">
        <v>28</v>
      </c>
      <c r="C39">
        <v>24.21</v>
      </c>
      <c r="D39" s="2">
        <f>C39-GETPIVOTDATA("Ct",Result!$B$2,"SampleName",A39,"TargetName",$I$6)</f>
        <v>-2.41</v>
      </c>
      <c r="E39" s="36">
        <f>D39-GETPIVOTDATA("dCt",Result!$B$8,"SampleName",$I$5,"TargetName",B39)</f>
        <v>0.413333333333334</v>
      </c>
      <c r="F39" s="36">
        <f t="shared" si="0"/>
        <v>0.75088645181738467</v>
      </c>
    </row>
    <row r="40" spans="1:6" ht="20.149999999999999" customHeight="1" x14ac:dyDescent="0.35">
      <c r="A40" t="s">
        <v>31</v>
      </c>
      <c r="B40" t="s">
        <v>29</v>
      </c>
      <c r="C40">
        <v>27.83</v>
      </c>
      <c r="D40" s="2">
        <f>C40-GETPIVOTDATA("Ct",Result!$B$2,"SampleName",A40,"TargetName",$I$6)</f>
        <v>1.2099999999999973</v>
      </c>
      <c r="E40" s="36">
        <f>D40-GETPIVOTDATA("dCt",Result!$B$8,"SampleName",$I$5,"TargetName",B40)</f>
        <v>0.21666666666666501</v>
      </c>
      <c r="F40" s="36">
        <f t="shared" si="0"/>
        <v>0.86055143724433103</v>
      </c>
    </row>
    <row r="41" spans="1:6" ht="20.149999999999999" customHeight="1" x14ac:dyDescent="0.35">
      <c r="A41" t="s">
        <v>31</v>
      </c>
      <c r="B41" t="s">
        <v>29</v>
      </c>
      <c r="C41">
        <v>27.62</v>
      </c>
      <c r="D41" s="2">
        <f>C41-GETPIVOTDATA("Ct",Result!$B$2,"SampleName",A41,"TargetName",$I$6)</f>
        <v>1</v>
      </c>
      <c r="E41" s="36">
        <f>D41-GETPIVOTDATA("dCt",Result!$B$8,"SampleName",$I$5,"TargetName",B41)</f>
        <v>6.6666666666677088E-3</v>
      </c>
      <c r="F41" s="36">
        <f t="shared" si="0"/>
        <v>0.9953896791032284</v>
      </c>
    </row>
    <row r="42" spans="1:6" ht="20.149999999999999" customHeight="1" x14ac:dyDescent="0.35">
      <c r="A42" t="s">
        <v>31</v>
      </c>
      <c r="B42" t="s">
        <v>29</v>
      </c>
      <c r="C42">
        <v>27.39</v>
      </c>
      <c r="D42" s="2">
        <f>C42-GETPIVOTDATA("Ct",Result!$B$2,"SampleName",A42,"TargetName",$I$6)</f>
        <v>0.76999999999999957</v>
      </c>
      <c r="E42" s="36">
        <f>D42-GETPIVOTDATA("dCt",Result!$B$8,"SampleName",$I$5,"TargetName",B42)</f>
        <v>-0.22333333333333272</v>
      </c>
      <c r="F42" s="36">
        <f t="shared" si="0"/>
        <v>1.1674278037569712</v>
      </c>
    </row>
    <row r="43" spans="1:6" ht="20.149999999999999" customHeight="1" x14ac:dyDescent="0.35">
      <c r="A43" t="s">
        <v>31</v>
      </c>
      <c r="B43" t="s">
        <v>27</v>
      </c>
      <c r="C43">
        <v>26.4</v>
      </c>
      <c r="D43" s="2">
        <f>C43-GETPIVOTDATA("Ct",Result!$B$2,"SampleName",A43,"TargetName",$I$6)</f>
        <v>-0.22000000000000242</v>
      </c>
      <c r="E43" s="36">
        <f>D43-GETPIVOTDATA("dCt",Result!$B$8,"SampleName",$I$5,"TargetName",B43)</f>
        <v>-0.21666666666666737</v>
      </c>
      <c r="F43" s="36">
        <f t="shared" si="0"/>
        <v>1.1620455869578401</v>
      </c>
    </row>
    <row r="44" spans="1:6" ht="20.149999999999999" customHeight="1" x14ac:dyDescent="0.35">
      <c r="A44"/>
      <c r="B44"/>
      <c r="C44" s="29"/>
      <c r="D44" s="36"/>
      <c r="E44" s="36"/>
      <c r="F44" s="36"/>
    </row>
    <row r="45" spans="1:6" ht="20.149999999999999" customHeight="1" x14ac:dyDescent="0.35">
      <c r="A45"/>
      <c r="B45"/>
      <c r="C45" s="29"/>
      <c r="D45" s="36"/>
      <c r="E45" s="36"/>
      <c r="F45" s="36"/>
    </row>
    <row r="46" spans="1:6" ht="20.149999999999999" customHeight="1" x14ac:dyDescent="0.35">
      <c r="A46"/>
      <c r="B46"/>
      <c r="C46" s="29"/>
      <c r="D46" s="36"/>
      <c r="E46" s="36"/>
      <c r="F46" s="36"/>
    </row>
    <row r="47" spans="1:6" ht="20.149999999999999" customHeight="1" x14ac:dyDescent="0.35">
      <c r="A47"/>
      <c r="B47"/>
      <c r="C47"/>
      <c r="D47" s="36"/>
      <c r="E47" s="36"/>
      <c r="F47" s="36"/>
    </row>
    <row r="48" spans="1:6" ht="20.149999999999999" customHeight="1" x14ac:dyDescent="0.35">
      <c r="A48"/>
      <c r="B48"/>
      <c r="C48" s="29"/>
      <c r="D48" s="36"/>
      <c r="E48" s="36"/>
      <c r="F48" s="36"/>
    </row>
    <row r="49" spans="1:6" ht="20.149999999999999" customHeight="1" x14ac:dyDescent="0.35">
      <c r="A49"/>
      <c r="B49"/>
      <c r="C49" s="29"/>
      <c r="D49" s="36"/>
      <c r="E49" s="36"/>
      <c r="F49" s="36"/>
    </row>
    <row r="50" spans="1:6" ht="20.149999999999999" customHeight="1" x14ac:dyDescent="0.35">
      <c r="A50"/>
      <c r="B50"/>
      <c r="C50" s="29"/>
      <c r="D50" s="36"/>
      <c r="E50" s="36"/>
      <c r="F50" s="36"/>
    </row>
    <row r="51" spans="1:6" ht="20.149999999999999" customHeight="1" x14ac:dyDescent="0.35">
      <c r="A51"/>
      <c r="B51"/>
      <c r="C51" s="29"/>
      <c r="D51" s="36"/>
      <c r="E51" s="36"/>
      <c r="F51" s="36"/>
    </row>
    <row r="52" spans="1:6" ht="20.149999999999999" customHeight="1" x14ac:dyDescent="0.35">
      <c r="A52"/>
      <c r="B52"/>
      <c r="C52" s="29"/>
      <c r="D52" s="36"/>
      <c r="E52" s="36"/>
      <c r="F52" s="36"/>
    </row>
    <row r="53" spans="1:6" ht="20.149999999999999" customHeight="1" x14ac:dyDescent="0.35">
      <c r="A53"/>
      <c r="B53"/>
      <c r="C53" s="29"/>
      <c r="D53" s="36"/>
      <c r="E53" s="36"/>
      <c r="F53" s="36"/>
    </row>
    <row r="54" spans="1:6" ht="20.149999999999999" customHeight="1" x14ac:dyDescent="0.35">
      <c r="A54"/>
      <c r="B54"/>
      <c r="C54" s="29"/>
      <c r="D54" s="36"/>
      <c r="E54" s="36"/>
      <c r="F54" s="36"/>
    </row>
    <row r="55" spans="1:6" ht="20.149999999999999" customHeight="1" x14ac:dyDescent="0.35">
      <c r="A55"/>
      <c r="B55"/>
      <c r="C55" s="29"/>
      <c r="D55" s="36"/>
      <c r="E55" s="36"/>
      <c r="F55" s="36"/>
    </row>
    <row r="56" spans="1:6" ht="20.149999999999999" customHeight="1" x14ac:dyDescent="0.35">
      <c r="A56"/>
      <c r="B56"/>
      <c r="C56" s="29"/>
      <c r="D56" s="36"/>
      <c r="E56" s="36"/>
      <c r="F56" s="36"/>
    </row>
    <row r="57" spans="1:6" ht="20.149999999999999" customHeight="1" x14ac:dyDescent="0.35">
      <c r="A57"/>
      <c r="B57"/>
      <c r="C57" s="29"/>
      <c r="D57" s="36"/>
      <c r="E57" s="36"/>
      <c r="F57" s="36"/>
    </row>
    <row r="58" spans="1:6" ht="20.149999999999999" customHeight="1" x14ac:dyDescent="0.35">
      <c r="A58"/>
      <c r="B58"/>
      <c r="C58" s="29"/>
      <c r="D58" s="36"/>
      <c r="E58" s="36"/>
      <c r="F58" s="36"/>
    </row>
    <row r="59" spans="1:6" ht="20.149999999999999" customHeight="1" x14ac:dyDescent="0.35">
      <c r="A59"/>
      <c r="B59"/>
      <c r="C59" s="29"/>
      <c r="D59" s="36"/>
      <c r="E59" s="36"/>
      <c r="F59" s="36"/>
    </row>
    <row r="60" spans="1:6" ht="20.149999999999999" customHeight="1" x14ac:dyDescent="0.35">
      <c r="A60"/>
      <c r="B60"/>
      <c r="C60" s="29"/>
      <c r="D60" s="36"/>
      <c r="E60" s="36"/>
      <c r="F60" s="36"/>
    </row>
    <row r="61" spans="1:6" ht="20.149999999999999" customHeight="1" x14ac:dyDescent="0.35">
      <c r="A61"/>
      <c r="B61"/>
      <c r="C61" s="29"/>
      <c r="D61" s="36"/>
      <c r="E61" s="36"/>
      <c r="F61" s="36"/>
    </row>
    <row r="62" spans="1:6" ht="20.149999999999999" customHeight="1" x14ac:dyDescent="0.35">
      <c r="A62"/>
      <c r="B62"/>
      <c r="C62" s="29"/>
      <c r="D62" s="36"/>
      <c r="E62" s="36"/>
      <c r="F62" s="36"/>
    </row>
    <row r="63" spans="1:6" ht="20.149999999999999" customHeight="1" x14ac:dyDescent="0.35">
      <c r="A63"/>
      <c r="B63"/>
      <c r="C63" s="29"/>
      <c r="D63" s="36"/>
      <c r="E63" s="36"/>
      <c r="F63" s="36"/>
    </row>
    <row r="64" spans="1:6" ht="20.149999999999999" customHeight="1" x14ac:dyDescent="0.35">
      <c r="A64"/>
      <c r="B64"/>
      <c r="C64" s="29"/>
      <c r="D64" s="36"/>
      <c r="E64" s="36"/>
      <c r="F64" s="36"/>
    </row>
    <row r="65" spans="1:6" ht="20.149999999999999" customHeight="1" x14ac:dyDescent="0.35">
      <c r="A65"/>
      <c r="B65"/>
      <c r="C65" s="29"/>
      <c r="D65" s="36"/>
      <c r="E65" s="36"/>
      <c r="F65" s="36"/>
    </row>
    <row r="66" spans="1:6" ht="20.149999999999999" customHeight="1" x14ac:dyDescent="0.35">
      <c r="A66"/>
      <c r="B66"/>
      <c r="C66" s="29"/>
      <c r="D66" s="36"/>
      <c r="E66" s="36"/>
      <c r="F66" s="36"/>
    </row>
    <row r="67" spans="1:6" ht="20.149999999999999" customHeight="1" x14ac:dyDescent="0.35">
      <c r="A67"/>
      <c r="B67"/>
      <c r="C67" s="29"/>
      <c r="D67" s="36"/>
      <c r="E67" s="36"/>
      <c r="F67" s="36"/>
    </row>
    <row r="68" spans="1:6" ht="20.149999999999999" customHeight="1" x14ac:dyDescent="0.35">
      <c r="A68"/>
      <c r="B68"/>
      <c r="C68" s="29"/>
      <c r="D68" s="36"/>
      <c r="E68" s="36"/>
      <c r="F68" s="36"/>
    </row>
    <row r="69" spans="1:6" ht="20.149999999999999" customHeight="1" x14ac:dyDescent="0.35">
      <c r="A69"/>
      <c r="B69"/>
      <c r="C69" s="29"/>
      <c r="D69" s="36"/>
      <c r="E69" s="36"/>
      <c r="F69" s="36"/>
    </row>
    <row r="70" spans="1:6" ht="20.149999999999999" customHeight="1" x14ac:dyDescent="0.35">
      <c r="A70"/>
      <c r="B70"/>
      <c r="C70" s="29"/>
      <c r="D70" s="36"/>
      <c r="E70" s="36"/>
      <c r="F70" s="36"/>
    </row>
    <row r="71" spans="1:6" ht="20.149999999999999" customHeight="1" x14ac:dyDescent="0.35">
      <c r="A71"/>
      <c r="B71"/>
      <c r="C71" s="29"/>
      <c r="D71" s="36"/>
      <c r="E71" s="36"/>
      <c r="F71" s="36"/>
    </row>
    <row r="72" spans="1:6" ht="20.149999999999999" customHeight="1" x14ac:dyDescent="0.35">
      <c r="A72"/>
      <c r="B72"/>
      <c r="C72" s="29"/>
      <c r="D72" s="36"/>
      <c r="E72" s="36"/>
      <c r="F72" s="36"/>
    </row>
    <row r="73" spans="1:6" ht="20.149999999999999" customHeight="1" x14ac:dyDescent="0.35">
      <c r="A73"/>
      <c r="B73"/>
      <c r="C73" s="29"/>
      <c r="D73" s="36"/>
      <c r="E73" s="36"/>
      <c r="F73" s="36"/>
    </row>
    <row r="74" spans="1:6" ht="20.149999999999999" customHeight="1" x14ac:dyDescent="0.35">
      <c r="A74"/>
      <c r="B74"/>
      <c r="C74" s="29"/>
      <c r="D74" s="36"/>
      <c r="E74" s="36"/>
      <c r="F74" s="36"/>
    </row>
    <row r="75" spans="1:6" ht="20.149999999999999" customHeight="1" x14ac:dyDescent="0.35">
      <c r="A75"/>
      <c r="B75"/>
      <c r="C75" s="29"/>
      <c r="D75" s="36"/>
      <c r="E75" s="36"/>
      <c r="F75" s="36"/>
    </row>
    <row r="76" spans="1:6" ht="20.149999999999999" customHeight="1" x14ac:dyDescent="0.35">
      <c r="A76"/>
      <c r="B76"/>
      <c r="C76" s="29"/>
      <c r="D76" s="36"/>
      <c r="E76" s="36"/>
      <c r="F76" s="36"/>
    </row>
    <row r="77" spans="1:6" ht="20.149999999999999" customHeight="1" x14ac:dyDescent="0.35">
      <c r="A77"/>
      <c r="B77"/>
      <c r="C77" s="29"/>
      <c r="D77" s="36"/>
      <c r="E77" s="36"/>
      <c r="F77" s="36"/>
    </row>
    <row r="78" spans="1:6" ht="20.149999999999999" customHeight="1" x14ac:dyDescent="0.35">
      <c r="A78"/>
      <c r="B78"/>
      <c r="C78" s="29"/>
      <c r="D78" s="36"/>
      <c r="E78" s="36"/>
      <c r="F78" s="36"/>
    </row>
    <row r="79" spans="1:6" ht="20.149999999999999" customHeight="1" x14ac:dyDescent="0.35">
      <c r="A79"/>
      <c r="B79"/>
      <c r="C79" s="29"/>
      <c r="D79" s="36"/>
      <c r="E79" s="36"/>
      <c r="F79" s="36"/>
    </row>
    <row r="80" spans="1:6" ht="20.149999999999999" customHeight="1" x14ac:dyDescent="0.35">
      <c r="A80" s="30"/>
      <c r="B80" s="30"/>
      <c r="C80" s="30"/>
      <c r="D80" s="36"/>
      <c r="E80" s="36"/>
      <c r="F80" s="36"/>
    </row>
    <row r="81" spans="1:6" ht="20.149999999999999" customHeight="1" x14ac:dyDescent="0.35">
      <c r="A81" s="30"/>
      <c r="B81" s="30"/>
      <c r="C81" s="30"/>
      <c r="D81" s="36"/>
      <c r="E81" s="36"/>
      <c r="F81" s="36"/>
    </row>
    <row r="82" spans="1:6" ht="20.149999999999999" customHeight="1" x14ac:dyDescent="0.35">
      <c r="A82" s="30"/>
      <c r="B82" s="30"/>
      <c r="C82" s="30"/>
      <c r="D82" s="36"/>
      <c r="E82" s="36"/>
      <c r="F82" s="36"/>
    </row>
    <row r="83" spans="1:6" ht="20.149999999999999" customHeight="1" x14ac:dyDescent="0.35">
      <c r="A83"/>
      <c r="B83"/>
      <c r="C83" s="29"/>
      <c r="D83" s="36"/>
      <c r="E83" s="36"/>
      <c r="F83" s="36"/>
    </row>
    <row r="84" spans="1:6" ht="20.149999999999999" customHeight="1" x14ac:dyDescent="0.35">
      <c r="A84"/>
      <c r="B84"/>
      <c r="C84" s="29"/>
      <c r="D84" s="36"/>
      <c r="E84" s="36"/>
      <c r="F84" s="36"/>
    </row>
    <row r="85" spans="1:6" ht="20.149999999999999" customHeight="1" x14ac:dyDescent="0.35">
      <c r="A85"/>
      <c r="B85"/>
      <c r="C85" s="29"/>
      <c r="D85" s="36"/>
      <c r="E85" s="36"/>
      <c r="F85" s="36"/>
    </row>
    <row r="86" spans="1:6" ht="20.149999999999999" customHeight="1" x14ac:dyDescent="0.35">
      <c r="A86"/>
      <c r="B86"/>
      <c r="C86" s="29"/>
      <c r="D86" s="36"/>
      <c r="E86" s="36"/>
      <c r="F86" s="36"/>
    </row>
    <row r="87" spans="1:6" ht="20.149999999999999" customHeight="1" x14ac:dyDescent="0.35">
      <c r="A87"/>
      <c r="B87"/>
      <c r="C87" s="29"/>
      <c r="D87" s="36"/>
      <c r="E87" s="36"/>
      <c r="F87" s="36"/>
    </row>
    <row r="88" spans="1:6" ht="20.149999999999999" customHeight="1" x14ac:dyDescent="0.35">
      <c r="A88"/>
      <c r="B88"/>
      <c r="C88" s="29"/>
      <c r="D88" s="36"/>
      <c r="E88" s="36"/>
      <c r="F88" s="36"/>
    </row>
    <row r="89" spans="1:6" ht="20.149999999999999" customHeight="1" x14ac:dyDescent="0.35">
      <c r="A89"/>
      <c r="B89"/>
      <c r="C89" s="29"/>
      <c r="D89" s="36"/>
      <c r="E89" s="36"/>
      <c r="F89" s="36"/>
    </row>
    <row r="90" spans="1:6" ht="20.149999999999999" customHeight="1" x14ac:dyDescent="0.35">
      <c r="A90"/>
      <c r="B90"/>
      <c r="C90" s="29"/>
      <c r="D90" s="36"/>
      <c r="E90" s="36"/>
      <c r="F90" s="36"/>
    </row>
    <row r="91" spans="1:6" ht="20.149999999999999" customHeight="1" x14ac:dyDescent="0.35">
      <c r="A91"/>
      <c r="B91"/>
      <c r="C91" s="29"/>
      <c r="D91" s="36"/>
      <c r="E91" s="36"/>
      <c r="F91" s="36"/>
    </row>
    <row r="92" spans="1:6" ht="20.149999999999999" customHeight="1" x14ac:dyDescent="0.35">
      <c r="A92"/>
      <c r="B92"/>
      <c r="C92" s="29"/>
      <c r="D92" s="36"/>
      <c r="E92" s="36"/>
      <c r="F92" s="36"/>
    </row>
    <row r="93" spans="1:6" ht="20.149999999999999" customHeight="1" x14ac:dyDescent="0.35">
      <c r="A93"/>
      <c r="B93"/>
      <c r="C93" s="29"/>
      <c r="D93" s="36"/>
      <c r="E93" s="36"/>
      <c r="F93" s="36"/>
    </row>
    <row r="94" spans="1:6" ht="20.149999999999999" customHeight="1" x14ac:dyDescent="0.35">
      <c r="A94"/>
      <c r="B94"/>
      <c r="C94" s="29"/>
      <c r="D94" s="36"/>
      <c r="E94" s="36"/>
      <c r="F94" s="36"/>
    </row>
    <row r="95" spans="1:6" ht="20.149999999999999" customHeight="1" x14ac:dyDescent="0.35">
      <c r="A95"/>
      <c r="B95"/>
      <c r="C95" s="29"/>
      <c r="D95" s="36"/>
      <c r="E95" s="36"/>
      <c r="F95" s="36"/>
    </row>
    <row r="96" spans="1:6" ht="20.149999999999999" customHeight="1" x14ac:dyDescent="0.35">
      <c r="A96"/>
      <c r="B96"/>
      <c r="C96" s="29"/>
      <c r="D96" s="36"/>
      <c r="E96" s="36"/>
      <c r="F96" s="36"/>
    </row>
    <row r="97" spans="1:6" ht="20.149999999999999" customHeight="1" x14ac:dyDescent="0.35">
      <c r="A97"/>
      <c r="B97"/>
      <c r="C97" s="29"/>
      <c r="D97" s="36"/>
      <c r="E97" s="36"/>
      <c r="F97" s="36"/>
    </row>
    <row r="98" spans="1:6" ht="20.149999999999999" customHeight="1" x14ac:dyDescent="0.35">
      <c r="A98"/>
      <c r="B98"/>
      <c r="C98"/>
      <c r="D98" s="36"/>
      <c r="E98" s="36"/>
      <c r="F98" s="36"/>
    </row>
    <row r="99" spans="1:6" ht="20.149999999999999" customHeight="1" x14ac:dyDescent="0.35">
      <c r="A99"/>
      <c r="B99"/>
      <c r="C99"/>
      <c r="D99" s="36"/>
      <c r="E99" s="36"/>
      <c r="F99" s="36"/>
    </row>
    <row r="100" spans="1:6" ht="20.149999999999999" customHeight="1" x14ac:dyDescent="0.35">
      <c r="A100"/>
      <c r="B100"/>
      <c r="C100"/>
      <c r="D100" s="36"/>
      <c r="E100" s="36"/>
      <c r="F100" s="36"/>
    </row>
    <row r="101" spans="1:6" ht="20.149999999999999" customHeight="1" x14ac:dyDescent="0.35">
      <c r="A101"/>
      <c r="B101"/>
      <c r="C101"/>
      <c r="D101" s="36"/>
      <c r="E101" s="36"/>
      <c r="F101" s="36"/>
    </row>
    <row r="102" spans="1:6" ht="20.149999999999999" customHeight="1" x14ac:dyDescent="0.35">
      <c r="A102"/>
      <c r="B102"/>
      <c r="C102"/>
      <c r="D102" s="36"/>
      <c r="E102" s="36"/>
      <c r="F102" s="36"/>
    </row>
    <row r="103" spans="1:6" ht="20.149999999999999" customHeight="1" x14ac:dyDescent="0.35">
      <c r="A103"/>
      <c r="B103"/>
      <c r="C103"/>
      <c r="D103" s="36"/>
      <c r="E103" s="36"/>
      <c r="F103" s="36"/>
    </row>
    <row r="104" spans="1:6" ht="20.149999999999999" customHeight="1" x14ac:dyDescent="0.35">
      <c r="A104"/>
      <c r="B104"/>
      <c r="C104"/>
      <c r="D104" s="36"/>
      <c r="E104" s="36"/>
      <c r="F104" s="36"/>
    </row>
    <row r="105" spans="1:6" ht="20.149999999999999" customHeight="1" x14ac:dyDescent="0.35">
      <c r="A105"/>
      <c r="B105"/>
      <c r="C105"/>
      <c r="D105" s="36"/>
      <c r="E105" s="36"/>
      <c r="F105" s="36"/>
    </row>
    <row r="106" spans="1:6" ht="20.149999999999999" customHeight="1" x14ac:dyDescent="0.35">
      <c r="A106"/>
      <c r="B106"/>
      <c r="C106"/>
      <c r="D106" s="36"/>
      <c r="E106" s="36"/>
      <c r="F106" s="36"/>
    </row>
    <row r="107" spans="1:6" ht="20.149999999999999" customHeight="1" x14ac:dyDescent="0.35">
      <c r="A107" s="30"/>
      <c r="B107" s="30"/>
      <c r="C107" s="30"/>
      <c r="D107" s="36"/>
      <c r="E107" s="36"/>
      <c r="F107" s="36"/>
    </row>
    <row r="108" spans="1:6" ht="20.149999999999999" customHeight="1" x14ac:dyDescent="0.35">
      <c r="A108" s="30"/>
      <c r="B108" s="30"/>
      <c r="C108" s="30"/>
      <c r="D108" s="36"/>
      <c r="E108" s="36"/>
      <c r="F108" s="36"/>
    </row>
    <row r="109" spans="1:6" ht="20.149999999999999" customHeight="1" x14ac:dyDescent="0.35">
      <c r="A109" s="30"/>
      <c r="B109" s="30"/>
      <c r="C109" s="30"/>
      <c r="D109" s="36"/>
      <c r="E109" s="36"/>
      <c r="F109" s="36"/>
    </row>
    <row r="110" spans="1:6" ht="20.149999999999999" customHeight="1" x14ac:dyDescent="0.35">
      <c r="A110"/>
      <c r="B110"/>
      <c r="C110"/>
      <c r="D110" s="36"/>
      <c r="E110" s="36"/>
      <c r="F110" s="36"/>
    </row>
    <row r="111" spans="1:6" ht="20.149999999999999" customHeight="1" x14ac:dyDescent="0.35">
      <c r="A111"/>
      <c r="B111"/>
      <c r="C111"/>
      <c r="D111" s="36"/>
      <c r="E111" s="36"/>
      <c r="F111" s="36"/>
    </row>
    <row r="112" spans="1:6" ht="20.149999999999999" customHeight="1" x14ac:dyDescent="0.35">
      <c r="A112"/>
      <c r="B112"/>
      <c r="C112"/>
      <c r="D112" s="36"/>
      <c r="E112" s="36"/>
      <c r="F112" s="36"/>
    </row>
    <row r="113" spans="1:6" ht="20.149999999999999" customHeight="1" x14ac:dyDescent="0.35">
      <c r="A113"/>
      <c r="B113"/>
      <c r="C113"/>
      <c r="D113" s="36"/>
      <c r="E113" s="36"/>
      <c r="F113" s="36"/>
    </row>
    <row r="114" spans="1:6" ht="20.149999999999999" customHeight="1" x14ac:dyDescent="0.35">
      <c r="A114"/>
      <c r="B114"/>
      <c r="C114"/>
      <c r="D114" s="36"/>
      <c r="E114" s="36"/>
      <c r="F114" s="36"/>
    </row>
    <row r="115" spans="1:6" ht="20.149999999999999" customHeight="1" x14ac:dyDescent="0.35">
      <c r="A115"/>
      <c r="B115"/>
      <c r="C115"/>
      <c r="D115" s="36"/>
      <c r="E115" s="36"/>
      <c r="F115" s="36"/>
    </row>
    <row r="116" spans="1:6" ht="20.149999999999999" customHeight="1" x14ac:dyDescent="0.35">
      <c r="A116"/>
      <c r="B116"/>
      <c r="C116"/>
      <c r="D116" s="36"/>
      <c r="E116" s="36"/>
      <c r="F116" s="36"/>
    </row>
    <row r="117" spans="1:6" ht="20.149999999999999" customHeight="1" x14ac:dyDescent="0.35">
      <c r="A117"/>
      <c r="B117"/>
      <c r="C117"/>
      <c r="D117" s="36"/>
      <c r="E117" s="36"/>
      <c r="F117" s="36"/>
    </row>
    <row r="118" spans="1:6" ht="20.149999999999999" customHeight="1" x14ac:dyDescent="0.35">
      <c r="A118"/>
      <c r="B118"/>
      <c r="C118"/>
      <c r="D118" s="36"/>
      <c r="E118" s="36"/>
      <c r="F118" s="36"/>
    </row>
    <row r="119" spans="1:6" ht="20.149999999999999" customHeight="1" x14ac:dyDescent="0.35">
      <c r="A119"/>
      <c r="B119"/>
      <c r="C119"/>
      <c r="D119" s="36"/>
      <c r="E119" s="36"/>
      <c r="F119" s="36"/>
    </row>
    <row r="120" spans="1:6" ht="20.149999999999999" customHeight="1" x14ac:dyDescent="0.35">
      <c r="A120"/>
      <c r="B120"/>
      <c r="C120"/>
      <c r="D120" s="36"/>
      <c r="E120" s="36"/>
      <c r="F120" s="36"/>
    </row>
    <row r="121" spans="1:6" ht="20.149999999999999" customHeight="1" x14ac:dyDescent="0.35">
      <c r="A121"/>
      <c r="B121"/>
      <c r="C121"/>
      <c r="D121" s="36"/>
      <c r="E121" s="36"/>
      <c r="F121" s="36"/>
    </row>
    <row r="122" spans="1:6" ht="20.149999999999999" customHeight="1" x14ac:dyDescent="0.35">
      <c r="A122" s="34"/>
      <c r="B122" s="34"/>
      <c r="C122" s="35"/>
      <c r="D122" s="36"/>
      <c r="E122" s="36"/>
      <c r="F122" s="34"/>
    </row>
    <row r="123" spans="1:6" ht="20.149999999999999" customHeight="1" x14ac:dyDescent="0.35">
      <c r="A123" s="34"/>
      <c r="B123" s="34"/>
      <c r="C123" s="35"/>
      <c r="D123" s="36"/>
      <c r="E123" s="36"/>
      <c r="F123" s="34"/>
    </row>
    <row r="124" spans="1:6" ht="20.149999999999999" customHeight="1" x14ac:dyDescent="0.35">
      <c r="A124" s="34"/>
      <c r="B124" s="34"/>
      <c r="C124" s="35"/>
      <c r="D124" s="36"/>
      <c r="E124" s="36"/>
      <c r="F124" s="34"/>
    </row>
    <row r="125" spans="1:6" ht="20.149999999999999" customHeight="1" x14ac:dyDescent="0.35">
      <c r="A125" s="34"/>
      <c r="B125" s="34"/>
      <c r="C125" s="35"/>
      <c r="D125" s="36"/>
      <c r="E125" s="36"/>
      <c r="F125" s="34"/>
    </row>
    <row r="126" spans="1:6" ht="20.149999999999999" customHeight="1" x14ac:dyDescent="0.35">
      <c r="A126" s="34"/>
      <c r="B126" s="34"/>
      <c r="C126" s="35"/>
      <c r="D126" s="36"/>
      <c r="E126" s="36"/>
      <c r="F126" s="34"/>
    </row>
    <row r="127" spans="1:6" ht="20.149999999999999" customHeight="1" x14ac:dyDescent="0.35">
      <c r="A127" s="34"/>
      <c r="B127" s="34"/>
      <c r="C127" s="34"/>
      <c r="D127" s="36"/>
      <c r="E127" s="36"/>
      <c r="F127" s="34"/>
    </row>
    <row r="128" spans="1:6" ht="20.149999999999999" customHeight="1" x14ac:dyDescent="0.35">
      <c r="A128" s="34"/>
      <c r="B128" s="34"/>
      <c r="C128" s="35"/>
      <c r="D128" s="36"/>
      <c r="E128" s="36"/>
      <c r="F128" s="34"/>
    </row>
    <row r="129" spans="1:6" ht="20.149999999999999" customHeight="1" x14ac:dyDescent="0.35">
      <c r="A129" s="34"/>
      <c r="B129" s="34"/>
      <c r="C129" s="35"/>
      <c r="D129" s="36"/>
      <c r="E129" s="36"/>
      <c r="F129" s="34"/>
    </row>
    <row r="130" spans="1:6" ht="20.149999999999999" customHeight="1" x14ac:dyDescent="0.35">
      <c r="A130" s="34"/>
      <c r="B130" s="34"/>
      <c r="C130" s="35"/>
      <c r="D130" s="36"/>
      <c r="E130" s="36"/>
      <c r="F130" s="34"/>
    </row>
    <row r="131" spans="1:6" ht="20.149999999999999" customHeight="1" x14ac:dyDescent="0.35">
      <c r="A131" s="34"/>
      <c r="B131" s="34"/>
      <c r="C131" s="35"/>
      <c r="D131" s="36"/>
      <c r="E131" s="36"/>
      <c r="F131" s="34"/>
    </row>
    <row r="132" spans="1:6" ht="20.149999999999999" customHeight="1" x14ac:dyDescent="0.35">
      <c r="A132" s="34"/>
      <c r="B132" s="34"/>
      <c r="C132" s="35"/>
      <c r="D132" s="36"/>
      <c r="E132" s="36"/>
      <c r="F132" s="34"/>
    </row>
    <row r="133" spans="1:6" ht="20.149999999999999" customHeight="1" x14ac:dyDescent="0.35">
      <c r="A133" s="34"/>
      <c r="B133" s="34"/>
      <c r="C133" s="35"/>
      <c r="D133" s="36"/>
      <c r="E133" s="36"/>
      <c r="F133" s="34"/>
    </row>
    <row r="134" spans="1:6" ht="20.149999999999999" customHeight="1" x14ac:dyDescent="0.35">
      <c r="A134" s="34"/>
      <c r="B134" s="34"/>
      <c r="C134" s="35"/>
      <c r="D134" s="36"/>
      <c r="E134" s="36"/>
      <c r="F134" s="34"/>
    </row>
    <row r="135" spans="1:6" ht="20.149999999999999" customHeight="1" x14ac:dyDescent="0.35">
      <c r="A135" s="34"/>
      <c r="B135" s="34"/>
      <c r="C135" s="35"/>
      <c r="D135" s="36"/>
      <c r="E135" s="36"/>
      <c r="F135" s="34"/>
    </row>
    <row r="136" spans="1:6" ht="20.149999999999999" customHeight="1" x14ac:dyDescent="0.35">
      <c r="A136" s="34"/>
      <c r="B136" s="34"/>
      <c r="C136" s="35"/>
      <c r="D136" s="36"/>
      <c r="E136" s="36"/>
      <c r="F136" s="34"/>
    </row>
    <row r="137" spans="1:6" ht="20.149999999999999" customHeight="1" x14ac:dyDescent="0.35">
      <c r="A137" s="34"/>
      <c r="B137" s="34"/>
      <c r="C137" s="35"/>
      <c r="D137" s="36"/>
      <c r="E137" s="36"/>
      <c r="F137" s="34"/>
    </row>
    <row r="138" spans="1:6" ht="20.149999999999999" customHeight="1" x14ac:dyDescent="0.35">
      <c r="A138" s="34"/>
      <c r="B138" s="34"/>
      <c r="C138" s="35"/>
      <c r="D138" s="36"/>
      <c r="E138" s="36"/>
      <c r="F138" s="34"/>
    </row>
    <row r="139" spans="1:6" ht="20.149999999999999" customHeight="1" x14ac:dyDescent="0.35">
      <c r="A139" s="34"/>
      <c r="B139" s="34"/>
      <c r="C139" s="35"/>
      <c r="D139" s="36"/>
      <c r="E139" s="36"/>
      <c r="F139" s="34"/>
    </row>
    <row r="140" spans="1:6" ht="20.149999999999999" customHeight="1" x14ac:dyDescent="0.35">
      <c r="A140" s="34"/>
      <c r="B140" s="34"/>
      <c r="C140" s="35"/>
      <c r="D140" s="36"/>
      <c r="E140" s="36"/>
      <c r="F140" s="34"/>
    </row>
    <row r="141" spans="1:6" ht="20.149999999999999" customHeight="1" x14ac:dyDescent="0.35">
      <c r="A141" s="34"/>
      <c r="B141" s="34"/>
      <c r="C141" s="35"/>
      <c r="D141" s="36"/>
      <c r="E141" s="36"/>
      <c r="F141" s="34"/>
    </row>
    <row r="142" spans="1:6" ht="20.149999999999999" customHeight="1" x14ac:dyDescent="0.35">
      <c r="A142" s="34"/>
      <c r="B142" s="34"/>
      <c r="C142" s="35"/>
      <c r="D142" s="36"/>
      <c r="E142" s="36"/>
      <c r="F142" s="34"/>
    </row>
    <row r="143" spans="1:6" ht="20.149999999999999" customHeight="1" x14ac:dyDescent="0.35">
      <c r="A143" s="34"/>
      <c r="B143" s="34"/>
      <c r="C143" s="35"/>
      <c r="D143" s="36"/>
      <c r="E143" s="36"/>
      <c r="F143" s="34"/>
    </row>
    <row r="144" spans="1:6" ht="20.149999999999999" customHeight="1" x14ac:dyDescent="0.35">
      <c r="A144" s="34"/>
      <c r="B144" s="34"/>
      <c r="C144" s="35"/>
      <c r="D144" s="36"/>
      <c r="E144" s="36"/>
      <c r="F144" s="34"/>
    </row>
    <row r="145" spans="1:6" ht="20.149999999999999" customHeight="1" x14ac:dyDescent="0.35">
      <c r="A145" s="34"/>
      <c r="B145" s="34"/>
      <c r="C145" s="35"/>
      <c r="D145" s="36"/>
      <c r="E145" s="36"/>
      <c r="F145" s="34"/>
    </row>
    <row r="146" spans="1:6" ht="20.149999999999999" customHeight="1" x14ac:dyDescent="0.35">
      <c r="A146" s="34"/>
      <c r="B146" s="34"/>
      <c r="C146" s="35"/>
      <c r="D146" s="36"/>
      <c r="E146" s="36"/>
      <c r="F146" s="34"/>
    </row>
    <row r="147" spans="1:6" ht="20.149999999999999" customHeight="1" x14ac:dyDescent="0.35">
      <c r="A147" s="34"/>
      <c r="B147" s="34"/>
      <c r="C147" s="34"/>
      <c r="D147" s="36"/>
      <c r="E147" s="36"/>
      <c r="F147" s="34"/>
    </row>
    <row r="148" spans="1:6" ht="20.149999999999999" customHeight="1" x14ac:dyDescent="0.35">
      <c r="A148" s="34"/>
      <c r="B148" s="34"/>
      <c r="C148" s="35"/>
      <c r="D148" s="36"/>
      <c r="E148" s="36"/>
      <c r="F148" s="34"/>
    </row>
    <row r="149" spans="1:6" ht="20.149999999999999" customHeight="1" x14ac:dyDescent="0.35">
      <c r="A149" s="34"/>
      <c r="B149" s="34"/>
      <c r="C149" s="35"/>
      <c r="D149" s="36"/>
      <c r="E149" s="36"/>
      <c r="F149" s="34"/>
    </row>
    <row r="150" spans="1:6" ht="20.149999999999999" customHeight="1" x14ac:dyDescent="0.35">
      <c r="A150" s="34"/>
      <c r="B150" s="34"/>
      <c r="C150" s="35"/>
      <c r="D150" s="36"/>
      <c r="E150" s="36"/>
      <c r="F150" s="34"/>
    </row>
    <row r="151" spans="1:6" ht="20.149999999999999" customHeight="1" x14ac:dyDescent="0.35">
      <c r="A151" s="34"/>
      <c r="B151" s="34"/>
      <c r="C151" s="35"/>
      <c r="D151" s="36"/>
      <c r="E151" s="36"/>
      <c r="F151" s="34"/>
    </row>
    <row r="152" spans="1:6" ht="20.149999999999999" customHeight="1" x14ac:dyDescent="0.35">
      <c r="A152" s="34"/>
      <c r="B152" s="34"/>
      <c r="C152" s="35"/>
      <c r="D152" s="36"/>
      <c r="E152" s="36"/>
      <c r="F152" s="34"/>
    </row>
    <row r="153" spans="1:6" ht="20.149999999999999" customHeight="1" x14ac:dyDescent="0.35">
      <c r="A153" s="34"/>
      <c r="B153" s="34"/>
      <c r="C153" s="35"/>
      <c r="D153" s="36"/>
      <c r="E153" s="36"/>
      <c r="F153" s="34"/>
    </row>
    <row r="154" spans="1:6" ht="20.149999999999999" customHeight="1" x14ac:dyDescent="0.35">
      <c r="A154" s="34"/>
      <c r="B154" s="34"/>
      <c r="C154" s="35"/>
      <c r="D154" s="36"/>
      <c r="E154" s="36"/>
      <c r="F154" s="34"/>
    </row>
    <row r="155" spans="1:6" ht="20.149999999999999" customHeight="1" x14ac:dyDescent="0.35">
      <c r="A155" s="34"/>
      <c r="B155" s="34"/>
      <c r="C155" s="35"/>
      <c r="D155" s="36"/>
      <c r="E155" s="36"/>
      <c r="F155" s="34"/>
    </row>
    <row r="156" spans="1:6" ht="20.149999999999999" customHeight="1" x14ac:dyDescent="0.35">
      <c r="A156" s="34"/>
      <c r="B156" s="34"/>
      <c r="C156" s="35"/>
      <c r="D156" s="36"/>
      <c r="E156" s="36"/>
      <c r="F156" s="34"/>
    </row>
    <row r="157" spans="1:6" ht="20.149999999999999" customHeight="1" x14ac:dyDescent="0.35">
      <c r="A157" s="34"/>
      <c r="B157" s="34"/>
      <c r="C157" s="35"/>
      <c r="D157" s="36"/>
      <c r="E157" s="36"/>
      <c r="F157" s="34"/>
    </row>
    <row r="158" spans="1:6" ht="20.149999999999999" customHeight="1" x14ac:dyDescent="0.35">
      <c r="A158" s="34"/>
      <c r="B158" s="34"/>
      <c r="C158" s="35"/>
      <c r="D158" s="36"/>
      <c r="E158" s="36"/>
      <c r="F158" s="34"/>
    </row>
    <row r="159" spans="1:6" ht="20.149999999999999" customHeight="1" x14ac:dyDescent="0.35">
      <c r="A159" s="34"/>
      <c r="B159" s="34"/>
      <c r="C159" s="35"/>
      <c r="D159" s="36"/>
      <c r="E159" s="36"/>
      <c r="F159" s="34"/>
    </row>
    <row r="160" spans="1:6" ht="20.149999999999999" customHeight="1" x14ac:dyDescent="0.35">
      <c r="A160" s="34"/>
      <c r="B160" s="34"/>
      <c r="C160" s="35"/>
      <c r="D160" s="36"/>
      <c r="E160" s="36"/>
      <c r="F160" s="34"/>
    </row>
    <row r="161" spans="1:6" ht="20.149999999999999" customHeight="1" x14ac:dyDescent="0.35">
      <c r="A161" s="34"/>
      <c r="B161" s="34"/>
      <c r="C161" s="35"/>
      <c r="D161" s="36"/>
      <c r="E161" s="36"/>
      <c r="F161" s="34"/>
    </row>
    <row r="162" spans="1:6" ht="20.149999999999999" customHeight="1" x14ac:dyDescent="0.35">
      <c r="A162" s="34"/>
      <c r="B162" s="34"/>
      <c r="C162" s="35"/>
      <c r="D162" s="36"/>
      <c r="E162" s="36"/>
      <c r="F162" s="34"/>
    </row>
    <row r="163" spans="1:6" ht="20.149999999999999" customHeight="1" x14ac:dyDescent="0.35">
      <c r="A163" s="34"/>
      <c r="B163" s="34"/>
      <c r="C163" s="35"/>
      <c r="D163" s="36"/>
      <c r="E163" s="36"/>
      <c r="F163" s="34"/>
    </row>
    <row r="164" spans="1:6" ht="20.149999999999999" customHeight="1" x14ac:dyDescent="0.35">
      <c r="A164" s="34"/>
      <c r="B164" s="34"/>
      <c r="C164" s="35"/>
      <c r="D164" s="36"/>
      <c r="E164" s="36"/>
      <c r="F164" s="34"/>
    </row>
    <row r="165" spans="1:6" ht="20.149999999999999" customHeight="1" x14ac:dyDescent="0.35">
      <c r="A165" s="34"/>
      <c r="B165" s="34"/>
      <c r="C165" s="35"/>
      <c r="D165" s="36"/>
      <c r="E165" s="36"/>
      <c r="F165" s="34"/>
    </row>
    <row r="166" spans="1:6" ht="20.149999999999999" customHeight="1" x14ac:dyDescent="0.35">
      <c r="A166" s="34"/>
      <c r="B166" s="34"/>
      <c r="C166" s="35"/>
      <c r="D166" s="36"/>
      <c r="E166" s="36"/>
      <c r="F166" s="34"/>
    </row>
    <row r="167" spans="1:6" ht="20.149999999999999" customHeight="1" x14ac:dyDescent="0.35">
      <c r="A167" s="34"/>
      <c r="B167" s="34"/>
      <c r="C167" s="35"/>
      <c r="D167" s="36"/>
      <c r="E167" s="36"/>
      <c r="F167" s="34"/>
    </row>
    <row r="168" spans="1:6" ht="20.149999999999999" customHeight="1" x14ac:dyDescent="0.35">
      <c r="A168" s="34"/>
      <c r="B168" s="34"/>
      <c r="C168" s="35"/>
      <c r="D168" s="36"/>
      <c r="E168" s="36"/>
      <c r="F168" s="34"/>
    </row>
    <row r="169" spans="1:6" ht="20.149999999999999" customHeight="1" x14ac:dyDescent="0.35">
      <c r="A169" s="34"/>
      <c r="B169" s="34"/>
      <c r="C169" s="35"/>
      <c r="D169" s="36"/>
      <c r="E169" s="36"/>
      <c r="F169" s="34"/>
    </row>
    <row r="170" spans="1:6" ht="20.149999999999999" customHeight="1" x14ac:dyDescent="0.35">
      <c r="A170" s="37"/>
      <c r="B170" s="37"/>
      <c r="C170" s="37"/>
      <c r="D170" s="36"/>
      <c r="E170" s="36"/>
      <c r="F170" s="37"/>
    </row>
    <row r="171" spans="1:6" ht="20.149999999999999" customHeight="1" x14ac:dyDescent="0.35">
      <c r="A171" s="37"/>
      <c r="B171" s="37"/>
      <c r="C171" s="38"/>
      <c r="D171" s="36"/>
      <c r="E171" s="36"/>
      <c r="F171" s="37"/>
    </row>
    <row r="172" spans="1:6" ht="20.149999999999999" customHeight="1" x14ac:dyDescent="0.35">
      <c r="A172" s="37"/>
      <c r="B172" s="37"/>
      <c r="C172" s="38"/>
      <c r="D172" s="36"/>
      <c r="E172" s="36"/>
      <c r="F172" s="37"/>
    </row>
    <row r="173" spans="1:6" ht="20.149999999999999" customHeight="1" x14ac:dyDescent="0.35">
      <c r="A173" s="34"/>
      <c r="B173" s="34"/>
      <c r="C173" s="35"/>
      <c r="D173" s="36"/>
      <c r="E173" s="36"/>
      <c r="F173" s="34"/>
    </row>
    <row r="174" spans="1:6" ht="20.149999999999999" customHeight="1" x14ac:dyDescent="0.35">
      <c r="A174" s="34"/>
      <c r="B174" s="34"/>
      <c r="C174" s="35"/>
      <c r="D174" s="36"/>
      <c r="E174" s="36"/>
      <c r="F174" s="34"/>
    </row>
    <row r="175" spans="1:6" ht="20.149999999999999" customHeight="1" x14ac:dyDescent="0.35">
      <c r="A175" s="34"/>
      <c r="B175" s="34"/>
      <c r="C175" s="35"/>
      <c r="D175" s="36"/>
      <c r="E175" s="36"/>
      <c r="F175" s="34"/>
    </row>
    <row r="176" spans="1:6" ht="20.149999999999999" customHeight="1" x14ac:dyDescent="0.35">
      <c r="A176" s="34"/>
      <c r="B176" s="34"/>
      <c r="C176" s="35"/>
      <c r="D176" s="36"/>
      <c r="E176" s="36"/>
      <c r="F176" s="34"/>
    </row>
    <row r="177" spans="1:6" ht="20.149999999999999" customHeight="1" x14ac:dyDescent="0.35">
      <c r="A177" s="34"/>
      <c r="B177" s="34"/>
      <c r="C177" s="35"/>
      <c r="D177" s="36"/>
      <c r="E177" s="36"/>
      <c r="F177" s="34"/>
    </row>
    <row r="178" spans="1:6" ht="20.149999999999999" customHeight="1" x14ac:dyDescent="0.35">
      <c r="A178" s="34"/>
      <c r="B178" s="34"/>
      <c r="C178" s="35"/>
      <c r="D178" s="36"/>
      <c r="E178" s="36"/>
      <c r="F178" s="34"/>
    </row>
    <row r="179" spans="1:6" ht="20.149999999999999" customHeight="1" x14ac:dyDescent="0.35">
      <c r="A179" s="34"/>
      <c r="B179" s="34"/>
      <c r="C179" s="35"/>
      <c r="D179" s="36"/>
      <c r="E179" s="36"/>
      <c r="F179" s="34"/>
    </row>
    <row r="180" spans="1:6" ht="20.149999999999999" customHeight="1" x14ac:dyDescent="0.35">
      <c r="A180" s="34"/>
      <c r="B180" s="34"/>
      <c r="C180" s="35"/>
      <c r="D180" s="36"/>
      <c r="E180" s="36"/>
      <c r="F180" s="34"/>
    </row>
    <row r="181" spans="1:6" ht="20.149999999999999" customHeight="1" x14ac:dyDescent="0.35">
      <c r="A181" s="34"/>
      <c r="B181" s="34"/>
      <c r="C181" s="35"/>
      <c r="D181" s="36"/>
      <c r="E181" s="36"/>
      <c r="F181" s="34"/>
    </row>
    <row r="182" spans="1:6" ht="20.149999999999999" customHeight="1" x14ac:dyDescent="0.35">
      <c r="A182" s="34"/>
      <c r="B182" s="34"/>
      <c r="C182" s="35"/>
      <c r="D182" s="36"/>
      <c r="E182" s="36"/>
      <c r="F182" s="34"/>
    </row>
    <row r="183" spans="1:6" ht="20.149999999999999" customHeight="1" x14ac:dyDescent="0.35">
      <c r="A183" s="34"/>
      <c r="B183" s="34"/>
      <c r="C183" s="35"/>
      <c r="D183" s="36"/>
      <c r="E183" s="36"/>
      <c r="F183" s="34"/>
    </row>
    <row r="184" spans="1:6" ht="20.149999999999999" customHeight="1" x14ac:dyDescent="0.35">
      <c r="A184" s="34"/>
      <c r="B184" s="34"/>
      <c r="C184" s="35"/>
      <c r="D184" s="36"/>
      <c r="E184" s="36"/>
      <c r="F184" s="34"/>
    </row>
    <row r="185" spans="1:6" ht="20.149999999999999" customHeight="1" x14ac:dyDescent="0.35">
      <c r="A185" s="34"/>
      <c r="B185" s="34"/>
      <c r="C185" s="35"/>
      <c r="D185" s="36"/>
      <c r="E185" s="36"/>
      <c r="F185" s="34"/>
    </row>
    <row r="186" spans="1:6" ht="20.149999999999999" customHeight="1" x14ac:dyDescent="0.35">
      <c r="A186" s="34"/>
      <c r="B186" s="34"/>
      <c r="C186" s="35"/>
      <c r="D186" s="36"/>
      <c r="E186" s="36"/>
      <c r="F186" s="34"/>
    </row>
    <row r="187" spans="1:6" ht="20.149999999999999" customHeight="1" x14ac:dyDescent="0.35">
      <c r="A187" s="34"/>
      <c r="B187" s="34"/>
      <c r="C187" s="35"/>
      <c r="D187" s="36"/>
      <c r="E187" s="36"/>
      <c r="F187" s="34"/>
    </row>
    <row r="188" spans="1:6" ht="20.149999999999999" customHeight="1" x14ac:dyDescent="0.35">
      <c r="A188" s="34"/>
      <c r="B188" s="34"/>
      <c r="C188" s="35"/>
      <c r="D188" s="36"/>
      <c r="E188" s="36"/>
      <c r="F188" s="34"/>
    </row>
    <row r="189" spans="1:6" ht="20.149999999999999" customHeight="1" x14ac:dyDescent="0.35">
      <c r="A189" s="34"/>
      <c r="B189" s="34"/>
      <c r="C189" s="35"/>
      <c r="D189" s="36"/>
      <c r="E189" s="36"/>
      <c r="F189" s="34"/>
    </row>
    <row r="190" spans="1:6" ht="20.149999999999999" customHeight="1" x14ac:dyDescent="0.35">
      <c r="A190" s="34"/>
      <c r="B190" s="34"/>
      <c r="C190" s="35"/>
      <c r="D190" s="36"/>
      <c r="E190" s="36"/>
      <c r="F190" s="34"/>
    </row>
    <row r="191" spans="1:6" ht="20.149999999999999" customHeight="1" x14ac:dyDescent="0.35">
      <c r="A191" s="34"/>
      <c r="B191" s="34"/>
      <c r="C191" s="35"/>
      <c r="D191" s="36"/>
      <c r="E191" s="36"/>
      <c r="F191" s="34"/>
    </row>
    <row r="192" spans="1:6" ht="20.149999999999999" customHeight="1" x14ac:dyDescent="0.35">
      <c r="A192" s="34"/>
      <c r="B192" s="34"/>
      <c r="C192" s="35"/>
      <c r="D192" s="36"/>
      <c r="E192" s="36"/>
      <c r="F192" s="34"/>
    </row>
    <row r="193" spans="1:6" ht="20.149999999999999" customHeight="1" x14ac:dyDescent="0.35">
      <c r="A193" s="34"/>
      <c r="B193" s="34"/>
      <c r="C193" s="35"/>
      <c r="D193" s="36"/>
      <c r="E193" s="36"/>
      <c r="F193" s="34"/>
    </row>
    <row r="194" spans="1:6" ht="20.149999999999999" customHeight="1" x14ac:dyDescent="0.35">
      <c r="A194" s="34"/>
      <c r="B194" s="34"/>
      <c r="C194" s="35"/>
      <c r="D194" s="36"/>
      <c r="E194" s="36"/>
      <c r="F194" s="34"/>
    </row>
    <row r="195" spans="1:6" ht="20.149999999999999" customHeight="1" x14ac:dyDescent="0.35">
      <c r="A195" s="34"/>
      <c r="B195" s="34"/>
      <c r="C195" s="35"/>
      <c r="D195" s="36"/>
      <c r="E195" s="36"/>
      <c r="F195" s="34"/>
    </row>
    <row r="196" spans="1:6" ht="20.149999999999999" customHeight="1" x14ac:dyDescent="0.35">
      <c r="A196" s="34"/>
      <c r="B196" s="34"/>
      <c r="C196" s="35"/>
      <c r="D196" s="36"/>
      <c r="E196" s="36"/>
      <c r="F196" s="34"/>
    </row>
    <row r="197" spans="1:6" ht="20.149999999999999" customHeight="1" x14ac:dyDescent="0.35">
      <c r="A197" s="34"/>
      <c r="B197" s="34"/>
      <c r="C197" s="35"/>
      <c r="D197" s="36"/>
      <c r="E197" s="36"/>
      <c r="F197" s="34"/>
    </row>
    <row r="198" spans="1:6" ht="20.149999999999999" customHeight="1" x14ac:dyDescent="0.35">
      <c r="A198" s="34"/>
      <c r="B198" s="34"/>
      <c r="C198" s="35"/>
      <c r="D198" s="36"/>
      <c r="E198" s="36"/>
      <c r="F198" s="34"/>
    </row>
    <row r="199" spans="1:6" ht="20.149999999999999" customHeight="1" x14ac:dyDescent="0.35">
      <c r="A199" s="34"/>
      <c r="B199" s="34"/>
      <c r="C199" s="35"/>
      <c r="D199" s="36"/>
      <c r="E199" s="36"/>
      <c r="F199" s="34"/>
    </row>
    <row r="200" spans="1:6" ht="20.149999999999999" customHeight="1" x14ac:dyDescent="0.35">
      <c r="A200" s="34"/>
      <c r="B200" s="34"/>
      <c r="C200" s="35"/>
      <c r="D200" s="36"/>
      <c r="E200" s="36"/>
      <c r="F200" s="34"/>
    </row>
    <row r="201" spans="1:6" ht="20.149999999999999" customHeight="1" x14ac:dyDescent="0.35">
      <c r="A201" s="34"/>
      <c r="B201" s="34"/>
      <c r="C201" s="35"/>
      <c r="D201" s="36"/>
      <c r="E201" s="36"/>
      <c r="F201" s="34"/>
    </row>
    <row r="202" spans="1:6" ht="20.149999999999999" customHeight="1" x14ac:dyDescent="0.35">
      <c r="A202" s="34"/>
      <c r="B202" s="34"/>
      <c r="C202" s="35"/>
      <c r="D202" s="36"/>
      <c r="E202" s="36"/>
      <c r="F202" s="34"/>
    </row>
    <row r="203" spans="1:6" ht="20.149999999999999" customHeight="1" x14ac:dyDescent="0.35">
      <c r="A203" s="34"/>
      <c r="B203" s="34"/>
      <c r="C203" s="35"/>
      <c r="D203" s="36"/>
      <c r="E203" s="36"/>
      <c r="F203" s="34"/>
    </row>
    <row r="204" spans="1:6" ht="20.149999999999999" customHeight="1" x14ac:dyDescent="0.35">
      <c r="A204" s="34"/>
      <c r="B204" s="34"/>
      <c r="C204" s="35"/>
      <c r="D204" s="36"/>
      <c r="E204" s="36"/>
      <c r="F204" s="34"/>
    </row>
    <row r="205" spans="1:6" ht="20.149999999999999" customHeight="1" x14ac:dyDescent="0.35">
      <c r="A205" s="34"/>
      <c r="B205" s="34"/>
      <c r="C205" s="35"/>
      <c r="D205" s="36"/>
      <c r="E205" s="36"/>
      <c r="F205" s="34"/>
    </row>
    <row r="206" spans="1:6" ht="20.149999999999999" customHeight="1" x14ac:dyDescent="0.35">
      <c r="A206" s="34"/>
      <c r="B206" s="34"/>
      <c r="C206" s="35"/>
      <c r="D206" s="36"/>
      <c r="E206" s="36"/>
      <c r="F206" s="34"/>
    </row>
    <row r="207" spans="1:6" ht="20.149999999999999" customHeight="1" x14ac:dyDescent="0.35">
      <c r="A207" s="34"/>
      <c r="B207" s="34"/>
      <c r="C207" s="35"/>
      <c r="D207" s="36"/>
      <c r="E207" s="36"/>
      <c r="F207" s="34"/>
    </row>
    <row r="208" spans="1:6" ht="20.149999999999999" customHeight="1" x14ac:dyDescent="0.35">
      <c r="A208" s="34"/>
      <c r="B208" s="34"/>
      <c r="C208" s="35"/>
      <c r="D208" s="36"/>
      <c r="E208" s="36"/>
      <c r="F208" s="34"/>
    </row>
    <row r="209" spans="1:6" ht="20.149999999999999" customHeight="1" x14ac:dyDescent="0.35">
      <c r="A209" s="34"/>
      <c r="B209" s="34"/>
      <c r="C209" s="35"/>
      <c r="D209" s="36"/>
      <c r="E209" s="36"/>
      <c r="F209" s="34"/>
    </row>
    <row r="210" spans="1:6" ht="20.149999999999999" customHeight="1" x14ac:dyDescent="0.35">
      <c r="A210" s="34"/>
      <c r="B210" s="34"/>
      <c r="C210" s="35"/>
      <c r="D210" s="36"/>
      <c r="E210" s="36"/>
      <c r="F210" s="34"/>
    </row>
    <row r="211" spans="1:6" ht="20.149999999999999" customHeight="1" x14ac:dyDescent="0.35">
      <c r="A211" s="34"/>
      <c r="B211" s="34"/>
      <c r="C211" s="35"/>
      <c r="D211" s="36"/>
      <c r="E211" s="36"/>
      <c r="F211" s="34"/>
    </row>
    <row r="212" spans="1:6" ht="20.149999999999999" customHeight="1" x14ac:dyDescent="0.35">
      <c r="A212" s="34"/>
      <c r="B212" s="34"/>
      <c r="C212" s="35"/>
      <c r="D212" s="36"/>
      <c r="E212" s="36"/>
      <c r="F212" s="34"/>
    </row>
    <row r="213" spans="1:6" ht="20.149999999999999" customHeight="1" x14ac:dyDescent="0.35">
      <c r="A213" s="34"/>
      <c r="B213" s="34"/>
      <c r="C213" s="35"/>
      <c r="D213" s="36"/>
      <c r="E213" s="36"/>
      <c r="F213" s="34"/>
    </row>
    <row r="214" spans="1:6" ht="20.149999999999999" customHeight="1" x14ac:dyDescent="0.35">
      <c r="A214" s="34"/>
      <c r="B214" s="34"/>
      <c r="C214" s="35"/>
      <c r="D214" s="36"/>
      <c r="E214" s="36"/>
      <c r="F214" s="34"/>
    </row>
    <row r="215" spans="1:6" ht="20.149999999999999" customHeight="1" x14ac:dyDescent="0.35">
      <c r="A215" s="34"/>
      <c r="B215" s="34"/>
      <c r="C215" s="35"/>
      <c r="D215" s="36"/>
      <c r="E215" s="36"/>
      <c r="F215" s="34"/>
    </row>
    <row r="216" spans="1:6" ht="20.149999999999999" customHeight="1" x14ac:dyDescent="0.35">
      <c r="A216" s="34"/>
      <c r="B216" s="34"/>
      <c r="C216" s="35"/>
      <c r="D216" s="36"/>
      <c r="E216" s="36"/>
      <c r="F216" s="34"/>
    </row>
    <row r="217" spans="1:6" ht="20.149999999999999" customHeight="1" x14ac:dyDescent="0.35">
      <c r="A217" s="34"/>
      <c r="B217" s="34"/>
      <c r="C217" s="35"/>
      <c r="D217" s="36"/>
      <c r="E217" s="36"/>
      <c r="F217" s="34"/>
    </row>
    <row r="218" spans="1:6" ht="20.149999999999999" customHeight="1" x14ac:dyDescent="0.35">
      <c r="A218" s="34"/>
      <c r="B218" s="34"/>
      <c r="C218" s="35"/>
      <c r="D218" s="36"/>
      <c r="E218" s="36"/>
      <c r="F218" s="34"/>
    </row>
    <row r="219" spans="1:6" ht="20.149999999999999" customHeight="1" x14ac:dyDescent="0.35">
      <c r="A219" s="34"/>
      <c r="B219" s="34"/>
      <c r="C219" s="35"/>
      <c r="D219" s="36"/>
      <c r="E219" s="36"/>
      <c r="F219" s="34"/>
    </row>
    <row r="220" spans="1:6" ht="20.149999999999999" customHeight="1" x14ac:dyDescent="0.35">
      <c r="A220" s="34"/>
      <c r="B220" s="34"/>
      <c r="C220" s="35"/>
      <c r="D220" s="36"/>
      <c r="E220" s="36"/>
      <c r="F220" s="34"/>
    </row>
    <row r="221" spans="1:6" ht="20.149999999999999" customHeight="1" x14ac:dyDescent="0.35">
      <c r="A221" s="34"/>
      <c r="B221" s="34"/>
      <c r="C221" s="35"/>
      <c r="D221" s="36"/>
      <c r="E221" s="36"/>
      <c r="F221" s="34"/>
    </row>
    <row r="222" spans="1:6" ht="20.149999999999999" customHeight="1" x14ac:dyDescent="0.35">
      <c r="A222" s="34"/>
      <c r="B222" s="34"/>
      <c r="C222" s="35"/>
      <c r="D222" s="36"/>
      <c r="E222" s="36"/>
      <c r="F222" s="34"/>
    </row>
    <row r="223" spans="1:6" ht="20.149999999999999" customHeight="1" x14ac:dyDescent="0.35">
      <c r="A223" s="34"/>
      <c r="B223" s="34"/>
      <c r="C223" s="35"/>
      <c r="D223" s="36"/>
      <c r="E223" s="36"/>
      <c r="F223" s="34"/>
    </row>
    <row r="224" spans="1:6" ht="20.149999999999999" customHeight="1" x14ac:dyDescent="0.35">
      <c r="A224" s="37"/>
      <c r="B224" s="37"/>
      <c r="C224" s="37"/>
      <c r="D224" s="36"/>
      <c r="E224" s="36"/>
      <c r="F224" s="37"/>
    </row>
    <row r="225" spans="1:6" ht="20.149999999999999" customHeight="1" x14ac:dyDescent="0.35">
      <c r="A225" s="37"/>
      <c r="B225" s="37"/>
      <c r="C225" s="37"/>
      <c r="D225" s="36"/>
      <c r="E225" s="36"/>
      <c r="F225" s="37"/>
    </row>
    <row r="226" spans="1:6" ht="20.149999999999999" customHeight="1" x14ac:dyDescent="0.35">
      <c r="A226" s="37"/>
      <c r="B226" s="37"/>
      <c r="C226" s="37"/>
      <c r="D226" s="36"/>
      <c r="E226" s="36"/>
      <c r="F226" s="37"/>
    </row>
    <row r="227" spans="1:6" ht="20.149999999999999" customHeight="1" x14ac:dyDescent="0.35">
      <c r="A227" s="34"/>
      <c r="B227" s="34"/>
      <c r="C227" s="35"/>
      <c r="D227" s="36"/>
      <c r="E227" s="36"/>
      <c r="F227" s="34"/>
    </row>
    <row r="228" spans="1:6" ht="20.149999999999999" customHeight="1" x14ac:dyDescent="0.35">
      <c r="A228" s="34"/>
      <c r="B228" s="34"/>
      <c r="C228" s="35"/>
      <c r="D228" s="36"/>
      <c r="E228" s="36"/>
      <c r="F228" s="34"/>
    </row>
    <row r="229" spans="1:6" ht="20.149999999999999" customHeight="1" x14ac:dyDescent="0.35">
      <c r="A229" s="34"/>
      <c r="B229" s="34"/>
      <c r="C229" s="35"/>
      <c r="D229" s="36"/>
      <c r="E229" s="36"/>
      <c r="F229" s="34"/>
    </row>
    <row r="230" spans="1:6" ht="20.149999999999999" customHeight="1" x14ac:dyDescent="0.35">
      <c r="A230" s="34"/>
      <c r="B230" s="34"/>
      <c r="C230" s="35"/>
      <c r="D230" s="36"/>
      <c r="E230" s="36"/>
      <c r="F230" s="34"/>
    </row>
    <row r="231" spans="1:6" ht="20.149999999999999" customHeight="1" x14ac:dyDescent="0.35">
      <c r="A231" s="34"/>
      <c r="B231" s="34"/>
      <c r="C231" s="35"/>
      <c r="D231" s="36"/>
      <c r="E231" s="36"/>
      <c r="F231" s="34"/>
    </row>
    <row r="232" spans="1:6" ht="20.149999999999999" customHeight="1" x14ac:dyDescent="0.35">
      <c r="A232" s="34"/>
      <c r="B232" s="34"/>
      <c r="C232" s="35"/>
      <c r="D232" s="36"/>
      <c r="E232" s="36"/>
      <c r="F232" s="34"/>
    </row>
    <row r="233" spans="1:6" ht="20.149999999999999" customHeight="1" x14ac:dyDescent="0.35">
      <c r="A233" s="34"/>
      <c r="B233" s="34"/>
      <c r="C233" s="35"/>
      <c r="D233" s="36"/>
      <c r="E233" s="36"/>
      <c r="F233" s="34"/>
    </row>
    <row r="234" spans="1:6" ht="20.149999999999999" customHeight="1" x14ac:dyDescent="0.35">
      <c r="A234" s="34"/>
      <c r="B234" s="34"/>
      <c r="C234" s="35"/>
      <c r="D234" s="36"/>
      <c r="E234" s="36"/>
      <c r="F234" s="34"/>
    </row>
    <row r="235" spans="1:6" ht="20.149999999999999" customHeight="1" x14ac:dyDescent="0.35">
      <c r="A235" s="34"/>
      <c r="B235" s="34"/>
      <c r="C235" s="35"/>
      <c r="D235" s="36"/>
      <c r="E235" s="36"/>
      <c r="F235" s="34"/>
    </row>
    <row r="236" spans="1:6" ht="20.149999999999999" customHeight="1" x14ac:dyDescent="0.35">
      <c r="A236" s="34"/>
      <c r="B236" s="34"/>
      <c r="C236" s="35"/>
      <c r="D236" s="36"/>
      <c r="E236" s="36"/>
      <c r="F236" s="34"/>
    </row>
    <row r="237" spans="1:6" ht="20.149999999999999" customHeight="1" x14ac:dyDescent="0.35">
      <c r="A237" s="34"/>
      <c r="B237" s="34"/>
      <c r="C237" s="35"/>
      <c r="D237" s="36"/>
      <c r="E237" s="36"/>
      <c r="F237" s="34"/>
    </row>
    <row r="238" spans="1:6" ht="20.149999999999999" customHeight="1" x14ac:dyDescent="0.35">
      <c r="A238" s="34"/>
      <c r="B238" s="34"/>
      <c r="C238" s="35"/>
      <c r="D238" s="36"/>
      <c r="E238" s="36"/>
      <c r="F238" s="34"/>
    </row>
    <row r="239" spans="1:6" ht="20.149999999999999" customHeight="1" x14ac:dyDescent="0.35">
      <c r="A239" s="34"/>
      <c r="B239" s="34"/>
      <c r="C239" s="35"/>
      <c r="D239" s="36"/>
      <c r="E239" s="36"/>
      <c r="F239" s="34"/>
    </row>
    <row r="240" spans="1:6" ht="20.149999999999999" customHeight="1" x14ac:dyDescent="0.35">
      <c r="A240" s="34"/>
      <c r="B240" s="34"/>
      <c r="C240" s="35"/>
      <c r="D240" s="36"/>
      <c r="E240" s="36"/>
      <c r="F240" s="34"/>
    </row>
    <row r="241" spans="1:6" ht="20.149999999999999" customHeight="1" x14ac:dyDescent="0.35">
      <c r="A241" s="34"/>
      <c r="B241" s="34"/>
      <c r="C241" s="35"/>
      <c r="D241" s="36"/>
      <c r="E241" s="36"/>
      <c r="F241" s="34"/>
    </row>
    <row r="242" spans="1:6" ht="20.149999999999999" customHeight="1" x14ac:dyDescent="0.35">
      <c r="A242" s="34"/>
      <c r="B242" s="34"/>
      <c r="C242" s="35"/>
      <c r="D242" s="36"/>
      <c r="E242" s="36"/>
      <c r="F242" s="34"/>
    </row>
    <row r="243" spans="1:6" ht="20.149999999999999" customHeight="1" x14ac:dyDescent="0.35">
      <c r="A243" s="34"/>
      <c r="B243" s="34"/>
      <c r="C243" s="35"/>
      <c r="D243" s="36"/>
      <c r="E243" s="36"/>
      <c r="F243" s="34"/>
    </row>
    <row r="244" spans="1:6" ht="20.149999999999999" customHeight="1" x14ac:dyDescent="0.35">
      <c r="A244" s="34"/>
      <c r="B244" s="34"/>
      <c r="C244" s="35"/>
      <c r="D244" s="36"/>
      <c r="E244" s="36"/>
      <c r="F244" s="34"/>
    </row>
    <row r="245" spans="1:6" ht="20.149999999999999" customHeight="1" x14ac:dyDescent="0.35">
      <c r="A245" s="34"/>
      <c r="B245" s="34"/>
      <c r="C245" s="35"/>
      <c r="D245" s="36"/>
      <c r="E245" s="36"/>
      <c r="F245" s="34"/>
    </row>
    <row r="246" spans="1:6" ht="20.149999999999999" customHeight="1" x14ac:dyDescent="0.35">
      <c r="A246" s="34"/>
      <c r="B246" s="34"/>
      <c r="C246" s="35"/>
      <c r="D246" s="36"/>
      <c r="E246" s="36"/>
      <c r="F246" s="34"/>
    </row>
    <row r="247" spans="1:6" ht="20.149999999999999" customHeight="1" x14ac:dyDescent="0.35">
      <c r="A247" s="34"/>
      <c r="B247" s="34"/>
      <c r="C247" s="35"/>
      <c r="D247" s="36"/>
      <c r="E247" s="36"/>
      <c r="F247" s="34"/>
    </row>
    <row r="248" spans="1:6" ht="20.149999999999999" customHeight="1" x14ac:dyDescent="0.35">
      <c r="A248" s="34"/>
      <c r="B248" s="34"/>
      <c r="C248" s="35"/>
      <c r="D248" s="36"/>
      <c r="E248" s="36"/>
      <c r="F248" s="34"/>
    </row>
    <row r="249" spans="1:6" ht="20.149999999999999" customHeight="1" x14ac:dyDescent="0.35">
      <c r="A249" s="34"/>
      <c r="B249" s="34"/>
      <c r="C249" s="35"/>
      <c r="D249" s="36"/>
      <c r="E249" s="36"/>
      <c r="F249" s="34"/>
    </row>
    <row r="250" spans="1:6" ht="20.149999999999999" customHeight="1" x14ac:dyDescent="0.35">
      <c r="A250" s="34"/>
      <c r="B250" s="34"/>
      <c r="C250" s="35"/>
      <c r="D250" s="36"/>
      <c r="E250" s="36"/>
      <c r="F250" s="34"/>
    </row>
    <row r="251" spans="1:6" ht="20.149999999999999" customHeight="1" x14ac:dyDescent="0.35">
      <c r="A251" s="34"/>
      <c r="B251" s="34"/>
      <c r="C251" s="35"/>
      <c r="D251" s="36"/>
      <c r="E251" s="36"/>
      <c r="F251" s="34"/>
    </row>
    <row r="252" spans="1:6" ht="20.149999999999999" customHeight="1" x14ac:dyDescent="0.35">
      <c r="A252" s="34"/>
      <c r="B252" s="34"/>
      <c r="C252" s="35"/>
      <c r="D252" s="36"/>
      <c r="E252" s="36"/>
      <c r="F252" s="34"/>
    </row>
    <row r="253" spans="1:6" ht="20.149999999999999" customHeight="1" x14ac:dyDescent="0.35">
      <c r="A253" s="34"/>
      <c r="B253" s="34"/>
      <c r="C253" s="35"/>
      <c r="D253" s="36"/>
      <c r="E253" s="36"/>
      <c r="F253" s="34"/>
    </row>
    <row r="254" spans="1:6" ht="20.149999999999999" customHeight="1" x14ac:dyDescent="0.35">
      <c r="A254" s="34"/>
      <c r="B254" s="34"/>
      <c r="C254" s="35"/>
      <c r="D254" s="36"/>
      <c r="E254" s="36"/>
      <c r="F254" s="34"/>
    </row>
    <row r="255" spans="1:6" ht="20.149999999999999" customHeight="1" x14ac:dyDescent="0.35">
      <c r="A255" s="34"/>
      <c r="B255" s="34"/>
      <c r="C255" s="35"/>
      <c r="D255" s="36"/>
      <c r="E255" s="36"/>
      <c r="F255" s="34"/>
    </row>
    <row r="256" spans="1:6" ht="20.149999999999999" customHeight="1" x14ac:dyDescent="0.35">
      <c r="A256" s="34"/>
      <c r="B256" s="34"/>
      <c r="C256" s="35"/>
      <c r="D256" s="36"/>
      <c r="E256" s="36"/>
      <c r="F256" s="34"/>
    </row>
    <row r="257" spans="1:6" ht="20.149999999999999" customHeight="1" x14ac:dyDescent="0.35">
      <c r="A257" s="34"/>
      <c r="B257" s="34"/>
      <c r="C257" s="35"/>
      <c r="D257" s="36"/>
      <c r="E257" s="36"/>
      <c r="F257" s="34"/>
    </row>
    <row r="258" spans="1:6" ht="20.149999999999999" customHeight="1" x14ac:dyDescent="0.35">
      <c r="A258" s="34"/>
      <c r="B258" s="34"/>
      <c r="C258" s="35"/>
      <c r="D258" s="36"/>
      <c r="E258" s="36"/>
      <c r="F258" s="34"/>
    </row>
    <row r="259" spans="1:6" ht="20.149999999999999" customHeight="1" x14ac:dyDescent="0.35">
      <c r="A259" s="34"/>
      <c r="B259" s="34"/>
      <c r="C259" s="35"/>
      <c r="D259" s="36"/>
      <c r="E259" s="36"/>
      <c r="F259" s="34"/>
    </row>
    <row r="260" spans="1:6" ht="20.149999999999999" customHeight="1" x14ac:dyDescent="0.35">
      <c r="A260" s="37"/>
      <c r="B260" s="37"/>
      <c r="C260" s="37"/>
      <c r="D260" s="36"/>
      <c r="E260" s="36"/>
      <c r="F260" s="37"/>
    </row>
    <row r="261" spans="1:6" ht="20.149999999999999" customHeight="1" x14ac:dyDescent="0.35">
      <c r="A261" s="37"/>
      <c r="B261" s="37"/>
      <c r="C261" s="37"/>
      <c r="D261" s="36"/>
      <c r="E261" s="36"/>
      <c r="F261" s="37"/>
    </row>
    <row r="262" spans="1:6" ht="20.149999999999999" customHeight="1" x14ac:dyDescent="0.35">
      <c r="A262" s="37"/>
      <c r="B262" s="37"/>
      <c r="C262" s="37"/>
      <c r="D262" s="36"/>
      <c r="E262" s="36"/>
      <c r="F262" s="37"/>
    </row>
    <row r="263" spans="1:6" ht="20.149999999999999" customHeight="1" x14ac:dyDescent="0.35">
      <c r="A263" s="34"/>
      <c r="B263" s="34"/>
      <c r="C263" s="35"/>
      <c r="D263" s="36"/>
      <c r="E263" s="36"/>
      <c r="F263" s="34"/>
    </row>
    <row r="264" spans="1:6" ht="20.149999999999999" customHeight="1" x14ac:dyDescent="0.35">
      <c r="A264" s="34"/>
      <c r="B264" s="34"/>
      <c r="C264" s="35"/>
      <c r="D264" s="36"/>
      <c r="E264" s="36"/>
      <c r="F264" s="34"/>
    </row>
    <row r="265" spans="1:6" ht="20.149999999999999" customHeight="1" x14ac:dyDescent="0.35">
      <c r="A265" s="34"/>
      <c r="B265" s="34"/>
      <c r="C265" s="35"/>
      <c r="D265" s="36"/>
      <c r="E265" s="36"/>
      <c r="F265" s="34"/>
    </row>
    <row r="266" spans="1:6" ht="20.149999999999999" customHeight="1" x14ac:dyDescent="0.35">
      <c r="A266" s="34"/>
      <c r="B266" s="34"/>
      <c r="C266" s="35"/>
      <c r="D266" s="36"/>
      <c r="E266" s="36"/>
      <c r="F266" s="34"/>
    </row>
    <row r="267" spans="1:6" ht="20.149999999999999" customHeight="1" x14ac:dyDescent="0.35">
      <c r="A267" s="34"/>
      <c r="B267" s="34"/>
      <c r="C267" s="35"/>
      <c r="D267" s="36"/>
      <c r="E267" s="36"/>
      <c r="F267" s="34"/>
    </row>
    <row r="268" spans="1:6" ht="20.149999999999999" customHeight="1" x14ac:dyDescent="0.35">
      <c r="A268" s="34"/>
      <c r="B268" s="34"/>
      <c r="C268" s="35"/>
      <c r="D268" s="36"/>
      <c r="E268" s="36"/>
      <c r="F268" s="34"/>
    </row>
    <row r="269" spans="1:6" ht="20.149999999999999" customHeight="1" x14ac:dyDescent="0.35">
      <c r="A269" s="34"/>
      <c r="B269" s="34"/>
      <c r="C269" s="35"/>
      <c r="D269" s="36"/>
      <c r="E269" s="36"/>
      <c r="F269" s="34"/>
    </row>
    <row r="270" spans="1:6" ht="20.149999999999999" customHeight="1" x14ac:dyDescent="0.35">
      <c r="A270" s="34"/>
      <c r="B270" s="34"/>
      <c r="C270" s="35"/>
      <c r="D270" s="36"/>
      <c r="E270" s="36"/>
      <c r="F270" s="34"/>
    </row>
    <row r="271" spans="1:6" ht="20.149999999999999" customHeight="1" x14ac:dyDescent="0.35">
      <c r="A271" s="34"/>
      <c r="B271" s="34"/>
      <c r="C271" s="35"/>
      <c r="D271" s="36"/>
      <c r="E271" s="36"/>
      <c r="F271" s="34"/>
    </row>
    <row r="272" spans="1:6" ht="20.149999999999999" customHeight="1" x14ac:dyDescent="0.35">
      <c r="A272" s="34"/>
      <c r="B272" s="34"/>
      <c r="C272" s="35"/>
      <c r="D272" s="36"/>
      <c r="E272" s="36"/>
      <c r="F272" s="34"/>
    </row>
    <row r="273" spans="1:6" ht="20.149999999999999" customHeight="1" x14ac:dyDescent="0.35">
      <c r="A273" s="34"/>
      <c r="B273" s="34"/>
      <c r="C273" s="35"/>
      <c r="D273" s="36"/>
      <c r="E273" s="36"/>
      <c r="F273" s="34"/>
    </row>
    <row r="274" spans="1:6" ht="20.149999999999999" customHeight="1" x14ac:dyDescent="0.35">
      <c r="A274" s="34"/>
      <c r="B274" s="34"/>
      <c r="C274" s="35"/>
      <c r="D274" s="36"/>
      <c r="E274" s="36"/>
      <c r="F274" s="34"/>
    </row>
    <row r="275" spans="1:6" ht="20.149999999999999" customHeight="1" x14ac:dyDescent="0.35">
      <c r="A275" s="34"/>
      <c r="B275" s="34"/>
      <c r="C275" s="35"/>
      <c r="D275" s="36"/>
      <c r="E275" s="36"/>
      <c r="F275" s="34"/>
    </row>
    <row r="276" spans="1:6" ht="20.149999999999999" customHeight="1" x14ac:dyDescent="0.35">
      <c r="A276" s="34"/>
      <c r="B276" s="34"/>
      <c r="C276" s="35"/>
      <c r="D276" s="36"/>
      <c r="E276" s="36"/>
      <c r="F276" s="34"/>
    </row>
    <row r="277" spans="1:6" ht="20.149999999999999" customHeight="1" x14ac:dyDescent="0.35">
      <c r="A277" s="34"/>
      <c r="B277" s="34"/>
      <c r="C277" s="35"/>
      <c r="D277" s="36"/>
      <c r="E277" s="36"/>
      <c r="F277" s="34"/>
    </row>
    <row r="278" spans="1:6" ht="20.149999999999999" customHeight="1" x14ac:dyDescent="0.35">
      <c r="A278" s="34"/>
      <c r="B278" s="34"/>
      <c r="C278" s="34"/>
      <c r="D278" s="36"/>
      <c r="E278" s="36"/>
      <c r="F278" s="34"/>
    </row>
    <row r="279" spans="1:6" ht="20.149999999999999" customHeight="1" x14ac:dyDescent="0.35">
      <c r="A279" s="34"/>
      <c r="B279" s="34"/>
      <c r="C279" s="34"/>
      <c r="D279" s="36"/>
      <c r="E279" s="36"/>
      <c r="F279" s="34"/>
    </row>
    <row r="280" spans="1:6" ht="20.149999999999999" customHeight="1" x14ac:dyDescent="0.35">
      <c r="A280" s="34"/>
      <c r="B280" s="34"/>
      <c r="C280" s="34"/>
      <c r="D280" s="36"/>
      <c r="E280" s="36"/>
      <c r="F280" s="34"/>
    </row>
    <row r="281" spans="1:6" ht="20.149999999999999" customHeight="1" x14ac:dyDescent="0.35">
      <c r="A281" s="34"/>
      <c r="B281" s="34"/>
      <c r="C281" s="34"/>
      <c r="D281" s="36"/>
      <c r="E281" s="36"/>
      <c r="F281" s="34"/>
    </row>
    <row r="282" spans="1:6" ht="20.149999999999999" customHeight="1" x14ac:dyDescent="0.35">
      <c r="A282" s="34"/>
      <c r="B282" s="34"/>
      <c r="C282" s="34"/>
      <c r="D282" s="36"/>
      <c r="E282" s="36"/>
      <c r="F282" s="34"/>
    </row>
    <row r="283" spans="1:6" ht="20.149999999999999" customHeight="1" x14ac:dyDescent="0.35">
      <c r="A283" s="34"/>
      <c r="B283" s="34"/>
      <c r="C283" s="34"/>
      <c r="D283" s="36"/>
      <c r="E283" s="36"/>
      <c r="F283" s="34"/>
    </row>
    <row r="284" spans="1:6" ht="20.149999999999999" customHeight="1" x14ac:dyDescent="0.35">
      <c r="A284" s="34"/>
      <c r="B284" s="34"/>
      <c r="C284" s="34"/>
      <c r="D284" s="36"/>
      <c r="E284" s="36"/>
      <c r="F284" s="34"/>
    </row>
    <row r="285" spans="1:6" ht="20.149999999999999" customHeight="1" x14ac:dyDescent="0.35">
      <c r="A285" s="34"/>
      <c r="B285" s="34"/>
      <c r="C285" s="34"/>
      <c r="D285" s="36"/>
      <c r="E285" s="36"/>
      <c r="F285" s="34"/>
    </row>
    <row r="286" spans="1:6" ht="20.149999999999999" customHeight="1" x14ac:dyDescent="0.35">
      <c r="A286" s="34"/>
      <c r="B286" s="34"/>
      <c r="C286" s="34"/>
      <c r="D286" s="36"/>
      <c r="E286" s="36"/>
      <c r="F286" s="34"/>
    </row>
    <row r="287" spans="1:6" ht="20.149999999999999" customHeight="1" x14ac:dyDescent="0.35">
      <c r="A287" s="37"/>
      <c r="B287" s="37"/>
      <c r="C287" s="37"/>
      <c r="D287" s="36"/>
      <c r="E287" s="36"/>
      <c r="F287" s="37"/>
    </row>
    <row r="288" spans="1:6" ht="20.149999999999999" customHeight="1" x14ac:dyDescent="0.35">
      <c r="A288" s="37"/>
      <c r="B288" s="37"/>
      <c r="C288" s="37"/>
      <c r="D288" s="36"/>
      <c r="E288" s="36"/>
      <c r="F288" s="37"/>
    </row>
    <row r="289" spans="1:6" ht="20.149999999999999" customHeight="1" x14ac:dyDescent="0.35">
      <c r="A289" s="37"/>
      <c r="B289" s="37"/>
      <c r="C289" s="37"/>
      <c r="D289" s="36"/>
      <c r="E289" s="36"/>
      <c r="F289" s="37"/>
    </row>
    <row r="290" spans="1:6" ht="20.149999999999999" customHeight="1" x14ac:dyDescent="0.35">
      <c r="A290" s="34"/>
      <c r="B290" s="34"/>
      <c r="C290" s="34"/>
      <c r="D290" s="36"/>
      <c r="E290" s="36"/>
      <c r="F290" s="34"/>
    </row>
    <row r="291" spans="1:6" ht="20.149999999999999" customHeight="1" x14ac:dyDescent="0.35">
      <c r="A291" s="34"/>
      <c r="B291" s="34"/>
      <c r="C291" s="34"/>
      <c r="D291" s="36"/>
      <c r="E291" s="36"/>
      <c r="F291" s="34"/>
    </row>
    <row r="292" spans="1:6" ht="20.149999999999999" customHeight="1" x14ac:dyDescent="0.35">
      <c r="A292" s="34"/>
      <c r="B292" s="34"/>
      <c r="C292" s="34"/>
      <c r="D292" s="36"/>
      <c r="E292" s="36"/>
      <c r="F292" s="34"/>
    </row>
    <row r="293" spans="1:6" ht="20.149999999999999" customHeight="1" x14ac:dyDescent="0.35">
      <c r="A293" s="34"/>
      <c r="B293" s="34"/>
      <c r="C293" s="34"/>
      <c r="D293" s="36"/>
      <c r="E293" s="36"/>
      <c r="F293" s="34"/>
    </row>
    <row r="294" spans="1:6" ht="20.149999999999999" customHeight="1" x14ac:dyDescent="0.35">
      <c r="A294" s="34"/>
      <c r="B294" s="34"/>
      <c r="C294" s="34"/>
      <c r="D294" s="36"/>
      <c r="E294" s="36"/>
      <c r="F294" s="34"/>
    </row>
    <row r="295" spans="1:6" ht="20.149999999999999" customHeight="1" x14ac:dyDescent="0.35">
      <c r="A295" s="34"/>
      <c r="B295" s="34"/>
      <c r="C295" s="34"/>
      <c r="D295" s="36"/>
      <c r="E295" s="36"/>
      <c r="F295" s="34"/>
    </row>
    <row r="296" spans="1:6" ht="20.149999999999999" customHeight="1" x14ac:dyDescent="0.35">
      <c r="A296" s="34"/>
      <c r="B296" s="34"/>
      <c r="C296" s="34"/>
      <c r="D296" s="36"/>
      <c r="E296" s="36"/>
      <c r="F296" s="34"/>
    </row>
    <row r="297" spans="1:6" ht="20.149999999999999" customHeight="1" x14ac:dyDescent="0.35">
      <c r="A297" s="34"/>
      <c r="B297" s="34"/>
      <c r="C297" s="34"/>
      <c r="D297" s="36"/>
      <c r="E297" s="36"/>
      <c r="F297" s="34"/>
    </row>
    <row r="298" spans="1:6" ht="20.149999999999999" customHeight="1" x14ac:dyDescent="0.35">
      <c r="A298" s="34"/>
      <c r="B298" s="34"/>
      <c r="C298" s="34"/>
      <c r="D298" s="36"/>
      <c r="E298" s="36"/>
      <c r="F298" s="34"/>
    </row>
    <row r="299" spans="1:6" ht="20.149999999999999" customHeight="1" x14ac:dyDescent="0.35">
      <c r="A299" s="34"/>
      <c r="B299" s="34"/>
      <c r="C299" s="34"/>
      <c r="D299" s="36"/>
      <c r="E299" s="36"/>
      <c r="F299" s="34"/>
    </row>
    <row r="300" spans="1:6" ht="20.149999999999999" customHeight="1" x14ac:dyDescent="0.35">
      <c r="A300" s="34"/>
      <c r="B300" s="34"/>
      <c r="C300" s="34"/>
      <c r="D300" s="36"/>
      <c r="E300" s="36"/>
      <c r="F300" s="34"/>
    </row>
    <row r="301" spans="1:6" ht="20.149999999999999" customHeight="1" x14ac:dyDescent="0.35">
      <c r="A301" s="34"/>
      <c r="B301" s="34"/>
      <c r="C301" s="34"/>
      <c r="D301" s="36"/>
      <c r="E301" s="36"/>
      <c r="F301" s="34"/>
    </row>
    <row r="302" spans="1:6" ht="20.149999999999999" customHeight="1" x14ac:dyDescent="0.35">
      <c r="A302" s="34"/>
      <c r="B302" s="34"/>
      <c r="C302" s="35"/>
      <c r="D302" s="36"/>
      <c r="E302" s="36"/>
      <c r="F302" s="34"/>
    </row>
    <row r="303" spans="1:6" ht="20.149999999999999" customHeight="1" x14ac:dyDescent="0.35">
      <c r="A303" s="34"/>
      <c r="B303" s="34"/>
      <c r="C303" s="35"/>
      <c r="D303" s="36"/>
      <c r="E303" s="36"/>
      <c r="F303" s="34"/>
    </row>
    <row r="304" spans="1:6" ht="20.149999999999999" customHeight="1" x14ac:dyDescent="0.35">
      <c r="A304" s="34"/>
      <c r="B304" s="34"/>
      <c r="C304" s="35"/>
      <c r="D304" s="36"/>
      <c r="E304" s="36"/>
      <c r="F304" s="34"/>
    </row>
    <row r="305" spans="1:6" ht="20.149999999999999" customHeight="1" x14ac:dyDescent="0.35">
      <c r="A305" s="34"/>
      <c r="B305" s="34"/>
      <c r="C305" s="35"/>
      <c r="D305" s="36"/>
      <c r="E305" s="36"/>
      <c r="F305" s="34"/>
    </row>
    <row r="306" spans="1:6" ht="20.149999999999999" customHeight="1" x14ac:dyDescent="0.35">
      <c r="A306" s="34"/>
      <c r="B306" s="34"/>
      <c r="C306" s="35"/>
      <c r="D306" s="36"/>
      <c r="E306" s="36"/>
      <c r="F306" s="34"/>
    </row>
    <row r="307" spans="1:6" ht="20.149999999999999" customHeight="1" x14ac:dyDescent="0.35">
      <c r="A307" s="34"/>
      <c r="B307" s="34"/>
      <c r="C307" s="35"/>
      <c r="D307" s="36"/>
      <c r="E307" s="36"/>
      <c r="F307" s="34"/>
    </row>
    <row r="308" spans="1:6" ht="20.149999999999999" customHeight="1" x14ac:dyDescent="0.35">
      <c r="A308" s="34"/>
      <c r="B308" s="34"/>
      <c r="C308" s="35"/>
      <c r="D308" s="36"/>
      <c r="E308" s="36"/>
      <c r="F308" s="34"/>
    </row>
    <row r="309" spans="1:6" ht="20.149999999999999" customHeight="1" x14ac:dyDescent="0.35">
      <c r="A309" s="34"/>
      <c r="B309" s="34"/>
      <c r="C309" s="35"/>
      <c r="D309" s="36"/>
      <c r="E309" s="36"/>
      <c r="F309" s="34"/>
    </row>
    <row r="310" spans="1:6" ht="20.149999999999999" customHeight="1" x14ac:dyDescent="0.35">
      <c r="A310" s="34"/>
      <c r="B310" s="34"/>
      <c r="C310" s="35"/>
      <c r="D310" s="36"/>
      <c r="E310" s="36"/>
      <c r="F310" s="34"/>
    </row>
    <row r="311" spans="1:6" ht="20.149999999999999" customHeight="1" x14ac:dyDescent="0.35">
      <c r="A311" s="34"/>
      <c r="B311" s="34"/>
      <c r="C311" s="35"/>
      <c r="D311" s="36"/>
      <c r="E311" s="36"/>
      <c r="F311" s="34"/>
    </row>
    <row r="312" spans="1:6" ht="20.149999999999999" customHeight="1" x14ac:dyDescent="0.35">
      <c r="A312" s="34"/>
      <c r="B312" s="34"/>
      <c r="C312" s="35"/>
      <c r="D312" s="36"/>
      <c r="E312" s="36"/>
      <c r="F312" s="34"/>
    </row>
    <row r="313" spans="1:6" ht="20.149999999999999" customHeight="1" x14ac:dyDescent="0.35">
      <c r="A313" s="34"/>
      <c r="B313" s="34"/>
      <c r="C313" s="35"/>
      <c r="D313" s="36"/>
      <c r="E313" s="36"/>
      <c r="F313" s="34"/>
    </row>
    <row r="314" spans="1:6" ht="20.149999999999999" customHeight="1" x14ac:dyDescent="0.35">
      <c r="A314" s="34"/>
      <c r="B314" s="34"/>
      <c r="C314" s="35"/>
      <c r="D314" s="36"/>
      <c r="E314" s="36"/>
      <c r="F314" s="34"/>
    </row>
    <row r="315" spans="1:6" ht="20.149999999999999" customHeight="1" x14ac:dyDescent="0.35">
      <c r="A315" s="34"/>
      <c r="B315" s="34"/>
      <c r="C315" s="35"/>
      <c r="D315" s="36"/>
      <c r="E315" s="36"/>
      <c r="F315" s="34"/>
    </row>
    <row r="316" spans="1:6" ht="20.149999999999999" customHeight="1" x14ac:dyDescent="0.35">
      <c r="A316" s="34"/>
      <c r="B316" s="34"/>
      <c r="C316" s="35"/>
      <c r="D316" s="36"/>
      <c r="E316" s="36"/>
      <c r="F316" s="34"/>
    </row>
    <row r="317" spans="1:6" ht="20.149999999999999" customHeight="1" x14ac:dyDescent="0.35">
      <c r="A317" s="34"/>
      <c r="B317" s="34"/>
      <c r="C317" s="35"/>
      <c r="D317" s="36"/>
      <c r="E317" s="36"/>
      <c r="F317" s="34"/>
    </row>
    <row r="318" spans="1:6" ht="20.149999999999999" customHeight="1" x14ac:dyDescent="0.35">
      <c r="A318" s="34"/>
      <c r="B318" s="34"/>
      <c r="C318" s="35"/>
      <c r="D318" s="36"/>
      <c r="E318" s="36"/>
      <c r="F318" s="34"/>
    </row>
    <row r="319" spans="1:6" ht="20.149999999999999" customHeight="1" x14ac:dyDescent="0.35">
      <c r="A319" s="34"/>
      <c r="B319" s="34"/>
      <c r="C319" s="35"/>
      <c r="D319" s="36"/>
      <c r="E319" s="36"/>
      <c r="F319" s="34"/>
    </row>
    <row r="320" spans="1:6" ht="20.149999999999999" customHeight="1" x14ac:dyDescent="0.35">
      <c r="A320" s="34"/>
      <c r="B320" s="34"/>
      <c r="C320" s="35"/>
      <c r="D320" s="36"/>
      <c r="E320" s="36"/>
      <c r="F320" s="34"/>
    </row>
    <row r="321" spans="1:6" ht="20.149999999999999" customHeight="1" x14ac:dyDescent="0.35">
      <c r="A321" s="34"/>
      <c r="B321" s="34"/>
      <c r="C321" s="35"/>
      <c r="D321" s="36"/>
      <c r="E321" s="36"/>
      <c r="F321" s="34"/>
    </row>
    <row r="322" spans="1:6" ht="20.149999999999999" customHeight="1" x14ac:dyDescent="0.35">
      <c r="A322" s="34"/>
      <c r="B322" s="34"/>
      <c r="C322" s="35"/>
      <c r="D322" s="36"/>
      <c r="E322" s="36"/>
      <c r="F322" s="34"/>
    </row>
    <row r="323" spans="1:6" ht="20.149999999999999" customHeight="1" x14ac:dyDescent="0.35">
      <c r="A323" s="34"/>
      <c r="B323" s="34"/>
      <c r="C323" s="35"/>
      <c r="D323" s="36"/>
      <c r="E323" s="36"/>
      <c r="F323" s="34"/>
    </row>
    <row r="324" spans="1:6" ht="20.149999999999999" customHeight="1" x14ac:dyDescent="0.35">
      <c r="A324" s="34"/>
      <c r="B324" s="34"/>
      <c r="C324" s="35"/>
      <c r="D324" s="36"/>
      <c r="E324" s="36"/>
      <c r="F324" s="34"/>
    </row>
    <row r="325" spans="1:6" ht="20.149999999999999" customHeight="1" x14ac:dyDescent="0.35">
      <c r="A325" s="34"/>
      <c r="B325" s="34"/>
      <c r="C325" s="35"/>
      <c r="D325" s="36"/>
      <c r="E325" s="36"/>
      <c r="F325" s="34"/>
    </row>
    <row r="326" spans="1:6" ht="20.149999999999999" customHeight="1" x14ac:dyDescent="0.35">
      <c r="A326" s="34"/>
      <c r="B326" s="34"/>
      <c r="C326" s="35"/>
      <c r="D326" s="36"/>
      <c r="E326" s="36"/>
      <c r="F326" s="34"/>
    </row>
    <row r="327" spans="1:6" ht="20.149999999999999" customHeight="1" x14ac:dyDescent="0.35">
      <c r="A327" s="34"/>
      <c r="B327" s="34"/>
      <c r="C327" s="35"/>
      <c r="D327" s="36"/>
      <c r="E327" s="36"/>
      <c r="F327" s="34"/>
    </row>
    <row r="328" spans="1:6" ht="20.149999999999999" customHeight="1" x14ac:dyDescent="0.35">
      <c r="A328" s="34"/>
      <c r="B328" s="34"/>
      <c r="C328" s="35"/>
      <c r="D328" s="36"/>
      <c r="E328" s="36"/>
      <c r="F328" s="34"/>
    </row>
    <row r="329" spans="1:6" ht="20.149999999999999" customHeight="1" x14ac:dyDescent="0.35">
      <c r="A329" s="34"/>
      <c r="B329" s="34"/>
      <c r="C329" s="35"/>
      <c r="D329" s="36"/>
      <c r="E329" s="36"/>
      <c r="F329" s="34"/>
    </row>
    <row r="330" spans="1:6" ht="20.149999999999999" customHeight="1" x14ac:dyDescent="0.35">
      <c r="A330" s="34"/>
      <c r="B330" s="34"/>
      <c r="C330" s="35"/>
      <c r="D330" s="36"/>
      <c r="E330" s="36"/>
      <c r="F330" s="34"/>
    </row>
    <row r="331" spans="1:6" ht="20.149999999999999" customHeight="1" x14ac:dyDescent="0.35">
      <c r="A331" s="34"/>
      <c r="B331" s="34"/>
      <c r="C331" s="35"/>
      <c r="D331" s="36"/>
      <c r="E331" s="36"/>
      <c r="F331" s="34"/>
    </row>
    <row r="332" spans="1:6" ht="20.149999999999999" customHeight="1" x14ac:dyDescent="0.35">
      <c r="A332" s="34"/>
      <c r="B332" s="34"/>
      <c r="C332" s="35"/>
      <c r="D332" s="36"/>
      <c r="E332" s="36"/>
      <c r="F332" s="34"/>
    </row>
    <row r="333" spans="1:6" ht="20.149999999999999" customHeight="1" x14ac:dyDescent="0.35">
      <c r="A333" s="34"/>
      <c r="B333" s="34"/>
      <c r="C333" s="35"/>
      <c r="D333" s="36"/>
      <c r="E333" s="36"/>
      <c r="F333" s="34"/>
    </row>
    <row r="334" spans="1:6" ht="20.149999999999999" customHeight="1" x14ac:dyDescent="0.35">
      <c r="A334" s="34"/>
      <c r="B334" s="34"/>
      <c r="C334" s="35"/>
      <c r="D334" s="36"/>
      <c r="E334" s="36"/>
      <c r="F334" s="34"/>
    </row>
    <row r="335" spans="1:6" ht="20.149999999999999" customHeight="1" x14ac:dyDescent="0.35">
      <c r="A335" s="34"/>
      <c r="B335" s="34"/>
      <c r="C335" s="35"/>
      <c r="D335" s="36"/>
      <c r="E335" s="36"/>
      <c r="F335" s="34"/>
    </row>
    <row r="336" spans="1:6" ht="20.149999999999999" customHeight="1" x14ac:dyDescent="0.35">
      <c r="A336" s="34"/>
      <c r="B336" s="34"/>
      <c r="C336" s="35"/>
      <c r="D336" s="36"/>
      <c r="E336" s="36"/>
      <c r="F336" s="34"/>
    </row>
    <row r="337" spans="1:6" ht="20.149999999999999" customHeight="1" x14ac:dyDescent="0.35">
      <c r="A337" s="34"/>
      <c r="B337" s="34"/>
      <c r="C337" s="35"/>
      <c r="D337" s="36"/>
      <c r="E337" s="36"/>
      <c r="F337" s="34"/>
    </row>
    <row r="338" spans="1:6" ht="20.149999999999999" customHeight="1" x14ac:dyDescent="0.35">
      <c r="A338" s="34"/>
      <c r="B338" s="34"/>
      <c r="C338" s="34"/>
      <c r="D338" s="36"/>
      <c r="E338" s="36"/>
      <c r="F338" s="34"/>
    </row>
    <row r="339" spans="1:6" ht="20.149999999999999" customHeight="1" x14ac:dyDescent="0.35">
      <c r="A339" s="34"/>
      <c r="B339" s="34"/>
      <c r="C339" s="34"/>
      <c r="D339" s="36"/>
      <c r="E339" s="36"/>
      <c r="F339" s="34"/>
    </row>
    <row r="340" spans="1:6" ht="20.149999999999999" customHeight="1" x14ac:dyDescent="0.35">
      <c r="A340" s="34"/>
      <c r="B340" s="34"/>
      <c r="C340" s="34"/>
      <c r="D340" s="36"/>
      <c r="E340" s="36"/>
      <c r="F340" s="34"/>
    </row>
    <row r="341" spans="1:6" ht="20.149999999999999" customHeight="1" x14ac:dyDescent="0.35">
      <c r="A341" s="34"/>
      <c r="B341" s="34"/>
      <c r="C341" s="34"/>
      <c r="D341" s="36"/>
      <c r="E341" s="36"/>
      <c r="F341" s="34"/>
    </row>
    <row r="342" spans="1:6" ht="20.149999999999999" customHeight="1" x14ac:dyDescent="0.35">
      <c r="A342" s="34"/>
      <c r="B342" s="34"/>
      <c r="C342" s="34"/>
      <c r="D342" s="36"/>
      <c r="E342" s="36"/>
      <c r="F342" s="34"/>
    </row>
    <row r="343" spans="1:6" ht="20.149999999999999" customHeight="1" x14ac:dyDescent="0.35">
      <c r="A343" s="34"/>
      <c r="B343" s="34"/>
      <c r="C343" s="34"/>
      <c r="D343" s="36"/>
      <c r="E343" s="36"/>
      <c r="F343" s="34"/>
    </row>
    <row r="344" spans="1:6" ht="20.149999999999999" customHeight="1" x14ac:dyDescent="0.35">
      <c r="A344" s="34"/>
      <c r="B344" s="34"/>
      <c r="C344" s="34"/>
      <c r="D344" s="36"/>
      <c r="E344" s="36"/>
      <c r="F344" s="34"/>
    </row>
    <row r="345" spans="1:6" ht="20.149999999999999" customHeight="1" x14ac:dyDescent="0.35">
      <c r="A345" s="34"/>
      <c r="B345" s="34"/>
      <c r="C345" s="34"/>
      <c r="D345" s="36"/>
      <c r="E345" s="36"/>
      <c r="F345" s="34"/>
    </row>
    <row r="346" spans="1:6" ht="20.149999999999999" customHeight="1" x14ac:dyDescent="0.35">
      <c r="A346" s="34"/>
      <c r="B346" s="34"/>
      <c r="C346" s="34"/>
      <c r="D346" s="36"/>
      <c r="E346" s="36"/>
      <c r="F346" s="34"/>
    </row>
    <row r="347" spans="1:6" ht="20.149999999999999" customHeight="1" x14ac:dyDescent="0.35">
      <c r="A347" s="37"/>
      <c r="B347" s="37"/>
      <c r="C347" s="37"/>
      <c r="D347" s="36"/>
      <c r="E347" s="36"/>
      <c r="F347" s="37"/>
    </row>
    <row r="348" spans="1:6" ht="20.149999999999999" customHeight="1" x14ac:dyDescent="0.35">
      <c r="A348" s="37"/>
      <c r="B348" s="37"/>
      <c r="C348" s="37"/>
      <c r="D348" s="36"/>
      <c r="E348" s="36"/>
      <c r="F348" s="37"/>
    </row>
    <row r="349" spans="1:6" ht="20.149999999999999" customHeight="1" x14ac:dyDescent="0.35">
      <c r="A349" s="37"/>
      <c r="B349" s="37"/>
      <c r="C349" s="37"/>
      <c r="D349" s="36"/>
      <c r="E349" s="36"/>
      <c r="F349" s="37"/>
    </row>
    <row r="350" spans="1:6" ht="20.149999999999999" customHeight="1" x14ac:dyDescent="0.35">
      <c r="A350" s="34"/>
      <c r="B350" s="34"/>
      <c r="C350" s="34"/>
      <c r="D350" s="36"/>
      <c r="E350" s="36"/>
      <c r="F350" s="34"/>
    </row>
    <row r="351" spans="1:6" ht="20.149999999999999" customHeight="1" x14ac:dyDescent="0.35">
      <c r="A351" s="34"/>
      <c r="B351" s="34"/>
      <c r="C351" s="34"/>
      <c r="D351" s="36"/>
      <c r="E351" s="36"/>
      <c r="F351" s="34"/>
    </row>
    <row r="352" spans="1:6" ht="20.149999999999999" customHeight="1" x14ac:dyDescent="0.35">
      <c r="A352" s="34"/>
      <c r="B352" s="34"/>
      <c r="C352" s="34"/>
      <c r="D352" s="36"/>
      <c r="E352" s="36"/>
      <c r="F352" s="34"/>
    </row>
    <row r="353" spans="1:6" ht="20.149999999999999" customHeight="1" x14ac:dyDescent="0.35">
      <c r="A353" s="34"/>
      <c r="B353" s="34"/>
      <c r="C353" s="34"/>
      <c r="D353" s="36"/>
      <c r="E353" s="36"/>
      <c r="F353" s="34"/>
    </row>
    <row r="354" spans="1:6" ht="20.149999999999999" customHeight="1" x14ac:dyDescent="0.35">
      <c r="A354" s="34"/>
      <c r="B354" s="34"/>
      <c r="C354" s="34"/>
      <c r="D354" s="36"/>
      <c r="E354" s="36"/>
      <c r="F354" s="34"/>
    </row>
    <row r="355" spans="1:6" ht="20.149999999999999" customHeight="1" x14ac:dyDescent="0.35">
      <c r="A355" s="34"/>
      <c r="B355" s="34"/>
      <c r="C355" s="34"/>
      <c r="D355" s="36"/>
      <c r="E355" s="36"/>
      <c r="F355" s="34"/>
    </row>
    <row r="356" spans="1:6" ht="20.149999999999999" customHeight="1" x14ac:dyDescent="0.35">
      <c r="A356" s="34"/>
      <c r="B356" s="34"/>
      <c r="C356" s="34"/>
      <c r="D356" s="36"/>
      <c r="E356" s="36"/>
      <c r="F356" s="34"/>
    </row>
    <row r="357" spans="1:6" ht="20.149999999999999" customHeight="1" x14ac:dyDescent="0.35">
      <c r="A357" s="34"/>
      <c r="B357" s="34"/>
      <c r="C357" s="34"/>
      <c r="D357" s="36"/>
      <c r="E357" s="36"/>
      <c r="F357" s="34"/>
    </row>
    <row r="358" spans="1:6" ht="20.149999999999999" customHeight="1" x14ac:dyDescent="0.35">
      <c r="A358" s="34"/>
      <c r="B358" s="34"/>
      <c r="C358" s="34"/>
      <c r="D358" s="36"/>
      <c r="E358" s="36"/>
      <c r="F358" s="34"/>
    </row>
    <row r="359" spans="1:6" ht="20.149999999999999" customHeight="1" x14ac:dyDescent="0.35">
      <c r="A359" s="34"/>
      <c r="B359" s="34"/>
      <c r="C359" s="34"/>
      <c r="D359" s="36"/>
      <c r="E359" s="36"/>
      <c r="F359" s="34"/>
    </row>
    <row r="360" spans="1:6" ht="20.149999999999999" customHeight="1" x14ac:dyDescent="0.35">
      <c r="A360" s="34"/>
      <c r="B360" s="34"/>
      <c r="C360" s="34"/>
      <c r="D360" s="36"/>
      <c r="E360" s="36"/>
      <c r="F360" s="34"/>
    </row>
    <row r="361" spans="1:6" ht="20.149999999999999" customHeight="1" x14ac:dyDescent="0.35">
      <c r="A361" s="34"/>
      <c r="B361" s="34"/>
      <c r="C361" s="34"/>
      <c r="D361" s="36"/>
      <c r="E361" s="36"/>
      <c r="F361" s="34"/>
    </row>
    <row r="362" spans="1:6" ht="20.149999999999999" customHeight="1" x14ac:dyDescent="0.35">
      <c r="F362" s="39"/>
    </row>
    <row r="363" spans="1:6" ht="20.149999999999999" customHeight="1" x14ac:dyDescent="0.35">
      <c r="F363" s="39"/>
    </row>
    <row r="364" spans="1:6" ht="20.149999999999999" customHeight="1" x14ac:dyDescent="0.35">
      <c r="F364" s="39"/>
    </row>
    <row r="365" spans="1:6" ht="20.149999999999999" customHeight="1" x14ac:dyDescent="0.35">
      <c r="F365" s="39"/>
    </row>
    <row r="366" spans="1:6" ht="20.149999999999999" customHeight="1" x14ac:dyDescent="0.35">
      <c r="F366" s="39"/>
    </row>
    <row r="367" spans="1:6" ht="20.149999999999999" customHeight="1" x14ac:dyDescent="0.35">
      <c r="F367" s="39"/>
    </row>
    <row r="368" spans="1:6" ht="20.149999999999999" customHeight="1" x14ac:dyDescent="0.35">
      <c r="F368" s="39"/>
    </row>
    <row r="369" spans="6:6" ht="20.149999999999999" customHeight="1" x14ac:dyDescent="0.35">
      <c r="F369" s="39"/>
    </row>
    <row r="370" spans="6:6" ht="20.149999999999999" customHeight="1" x14ac:dyDescent="0.35">
      <c r="F370" s="39"/>
    </row>
    <row r="371" spans="6:6" ht="20.149999999999999" customHeight="1" x14ac:dyDescent="0.35">
      <c r="F371" s="39"/>
    </row>
    <row r="372" spans="6:6" ht="20.149999999999999" customHeight="1" x14ac:dyDescent="0.35">
      <c r="F372" s="39"/>
    </row>
    <row r="373" spans="6:6" ht="20.149999999999999" customHeight="1" x14ac:dyDescent="0.35">
      <c r="F373" s="39"/>
    </row>
    <row r="374" spans="6:6" ht="20.149999999999999" customHeight="1" x14ac:dyDescent="0.35">
      <c r="F374" s="39"/>
    </row>
    <row r="375" spans="6:6" ht="20.149999999999999" customHeight="1" x14ac:dyDescent="0.35">
      <c r="F375" s="39"/>
    </row>
    <row r="376" spans="6:6" ht="20.149999999999999" customHeight="1" x14ac:dyDescent="0.35">
      <c r="F376" s="39"/>
    </row>
    <row r="377" spans="6:6" ht="20.149999999999999" customHeight="1" x14ac:dyDescent="0.35">
      <c r="F377" s="39"/>
    </row>
    <row r="378" spans="6:6" ht="20.149999999999999" customHeight="1" x14ac:dyDescent="0.35">
      <c r="F378" s="39"/>
    </row>
    <row r="379" spans="6:6" ht="20.149999999999999" customHeight="1" x14ac:dyDescent="0.35">
      <c r="F379" s="39"/>
    </row>
    <row r="380" spans="6:6" ht="20.149999999999999" customHeight="1" x14ac:dyDescent="0.35">
      <c r="F380" s="39"/>
    </row>
    <row r="381" spans="6:6" ht="20.149999999999999" customHeight="1" x14ac:dyDescent="0.35">
      <c r="F381" s="39"/>
    </row>
    <row r="382" spans="6:6" ht="20.149999999999999" customHeight="1" x14ac:dyDescent="0.35">
      <c r="F382" s="39"/>
    </row>
    <row r="383" spans="6:6" ht="20.149999999999999" customHeight="1" x14ac:dyDescent="0.35">
      <c r="F383" s="39"/>
    </row>
    <row r="384" spans="6:6" ht="20.149999999999999" customHeight="1" x14ac:dyDescent="0.35">
      <c r="F384" s="39"/>
    </row>
    <row r="385" spans="6:6" ht="20.149999999999999" customHeight="1" x14ac:dyDescent="0.35">
      <c r="F385" s="39"/>
    </row>
    <row r="386" spans="6:6" ht="20.149999999999999" customHeight="1" x14ac:dyDescent="0.35">
      <c r="F386" s="39"/>
    </row>
    <row r="387" spans="6:6" ht="20.149999999999999" customHeight="1" x14ac:dyDescent="0.35">
      <c r="F387" s="39"/>
    </row>
    <row r="388" spans="6:6" ht="20.149999999999999" customHeight="1" x14ac:dyDescent="0.35">
      <c r="F388" s="39"/>
    </row>
    <row r="389" spans="6:6" ht="20.149999999999999" customHeight="1" x14ac:dyDescent="0.35">
      <c r="F389" s="39"/>
    </row>
    <row r="390" spans="6:6" ht="20.149999999999999" customHeight="1" x14ac:dyDescent="0.35">
      <c r="F390" s="39"/>
    </row>
    <row r="391" spans="6:6" ht="20.149999999999999" customHeight="1" x14ac:dyDescent="0.35">
      <c r="F391" s="39"/>
    </row>
    <row r="392" spans="6:6" ht="20.149999999999999" customHeight="1" x14ac:dyDescent="0.35">
      <c r="F392" s="39"/>
    </row>
    <row r="393" spans="6:6" ht="20.149999999999999" customHeight="1" x14ac:dyDescent="0.35">
      <c r="F393" s="39"/>
    </row>
    <row r="394" spans="6:6" ht="20.149999999999999" customHeight="1" x14ac:dyDescent="0.35">
      <c r="F394" s="39"/>
    </row>
    <row r="395" spans="6:6" ht="20.149999999999999" customHeight="1" x14ac:dyDescent="0.35">
      <c r="F395" s="39"/>
    </row>
    <row r="396" spans="6:6" ht="20.149999999999999" customHeight="1" x14ac:dyDescent="0.35">
      <c r="F396" s="39"/>
    </row>
    <row r="397" spans="6:6" ht="20.149999999999999" customHeight="1" x14ac:dyDescent="0.35">
      <c r="F397" s="39"/>
    </row>
    <row r="398" spans="6:6" ht="20.149999999999999" customHeight="1" x14ac:dyDescent="0.35">
      <c r="F398" s="39"/>
    </row>
    <row r="399" spans="6:6" ht="20.149999999999999" customHeight="1" x14ac:dyDescent="0.35">
      <c r="F399" s="39"/>
    </row>
    <row r="400" spans="6:6" ht="20.149999999999999" customHeight="1" x14ac:dyDescent="0.35">
      <c r="F400" s="39"/>
    </row>
    <row r="401" spans="6:6" ht="20.149999999999999" customHeight="1" x14ac:dyDescent="0.35">
      <c r="F401" s="39"/>
    </row>
    <row r="402" spans="6:6" ht="20.149999999999999" customHeight="1" x14ac:dyDescent="0.35">
      <c r="F402" s="39"/>
    </row>
    <row r="403" spans="6:6" ht="20.149999999999999" customHeight="1" x14ac:dyDescent="0.35">
      <c r="F403" s="39"/>
    </row>
    <row r="404" spans="6:6" ht="20.149999999999999" customHeight="1" x14ac:dyDescent="0.35">
      <c r="F404" s="39"/>
    </row>
    <row r="405" spans="6:6" ht="20.149999999999999" customHeight="1" x14ac:dyDescent="0.35">
      <c r="F405" s="39"/>
    </row>
    <row r="406" spans="6:6" ht="20.149999999999999" customHeight="1" x14ac:dyDescent="0.35">
      <c r="F406" s="39"/>
    </row>
    <row r="407" spans="6:6" ht="20.149999999999999" customHeight="1" x14ac:dyDescent="0.35">
      <c r="F407" s="39"/>
    </row>
    <row r="408" spans="6:6" ht="20.149999999999999" customHeight="1" x14ac:dyDescent="0.35">
      <c r="F408" s="39"/>
    </row>
    <row r="409" spans="6:6" ht="20.149999999999999" customHeight="1" x14ac:dyDescent="0.35">
      <c r="F409" s="39"/>
    </row>
    <row r="410" spans="6:6" ht="20.149999999999999" customHeight="1" x14ac:dyDescent="0.35">
      <c r="F410" s="39"/>
    </row>
    <row r="411" spans="6:6" ht="20.149999999999999" customHeight="1" x14ac:dyDescent="0.35">
      <c r="F411" s="39"/>
    </row>
    <row r="412" spans="6:6" ht="20.149999999999999" customHeight="1" x14ac:dyDescent="0.35">
      <c r="F412" s="39"/>
    </row>
    <row r="413" spans="6:6" ht="20.149999999999999" customHeight="1" x14ac:dyDescent="0.35">
      <c r="F413" s="39"/>
    </row>
    <row r="414" spans="6:6" ht="20.149999999999999" customHeight="1" x14ac:dyDescent="0.35">
      <c r="F414" s="39"/>
    </row>
    <row r="415" spans="6:6" ht="20.149999999999999" customHeight="1" x14ac:dyDescent="0.35">
      <c r="F415" s="39"/>
    </row>
    <row r="416" spans="6:6" ht="20.149999999999999" customHeight="1" x14ac:dyDescent="0.35">
      <c r="F416" s="39"/>
    </row>
    <row r="417" spans="6:6" ht="20.149999999999999" customHeight="1" x14ac:dyDescent="0.35">
      <c r="F417" s="39"/>
    </row>
    <row r="418" spans="6:6" ht="20.149999999999999" customHeight="1" x14ac:dyDescent="0.35">
      <c r="F418" s="39"/>
    </row>
    <row r="419" spans="6:6" ht="20.149999999999999" customHeight="1" x14ac:dyDescent="0.35">
      <c r="F419" s="39"/>
    </row>
    <row r="420" spans="6:6" ht="20.149999999999999" customHeight="1" x14ac:dyDescent="0.35">
      <c r="F420" s="39"/>
    </row>
    <row r="421" spans="6:6" ht="20.149999999999999" customHeight="1" x14ac:dyDescent="0.35">
      <c r="F421" s="39"/>
    </row>
    <row r="422" spans="6:6" ht="20.149999999999999" customHeight="1" x14ac:dyDescent="0.35">
      <c r="F422" s="39"/>
    </row>
    <row r="423" spans="6:6" ht="20.149999999999999" customHeight="1" x14ac:dyDescent="0.35">
      <c r="F423" s="39"/>
    </row>
    <row r="424" spans="6:6" ht="20.149999999999999" customHeight="1" x14ac:dyDescent="0.35">
      <c r="F424" s="39"/>
    </row>
    <row r="425" spans="6:6" ht="20.149999999999999" customHeight="1" x14ac:dyDescent="0.35">
      <c r="F425" s="39"/>
    </row>
    <row r="426" spans="6:6" ht="20.149999999999999" customHeight="1" x14ac:dyDescent="0.35">
      <c r="F426" s="39"/>
    </row>
    <row r="427" spans="6:6" ht="20.149999999999999" customHeight="1" x14ac:dyDescent="0.35">
      <c r="F427" s="39"/>
    </row>
    <row r="428" spans="6:6" ht="20.149999999999999" customHeight="1" x14ac:dyDescent="0.35">
      <c r="F428" s="39"/>
    </row>
    <row r="429" spans="6:6" ht="20.149999999999999" customHeight="1" x14ac:dyDescent="0.35">
      <c r="F429" s="39"/>
    </row>
    <row r="430" spans="6:6" ht="20.149999999999999" customHeight="1" x14ac:dyDescent="0.35">
      <c r="F430" s="39"/>
    </row>
    <row r="431" spans="6:6" ht="20.149999999999999" customHeight="1" x14ac:dyDescent="0.35">
      <c r="F431" s="39"/>
    </row>
    <row r="432" spans="6:6" ht="20.149999999999999" customHeight="1" x14ac:dyDescent="0.35">
      <c r="F432" s="39"/>
    </row>
    <row r="433" spans="6:6" ht="20.149999999999999" customHeight="1" x14ac:dyDescent="0.35">
      <c r="F433" s="39"/>
    </row>
    <row r="434" spans="6:6" ht="20.149999999999999" customHeight="1" x14ac:dyDescent="0.35">
      <c r="F434" s="39"/>
    </row>
    <row r="435" spans="6:6" ht="20.149999999999999" customHeight="1" x14ac:dyDescent="0.35">
      <c r="F435" s="39"/>
    </row>
    <row r="436" spans="6:6" ht="20.149999999999999" customHeight="1" x14ac:dyDescent="0.35">
      <c r="F436" s="39"/>
    </row>
    <row r="437" spans="6:6" ht="20.149999999999999" customHeight="1" x14ac:dyDescent="0.35">
      <c r="F437" s="39"/>
    </row>
    <row r="438" spans="6:6" ht="20.149999999999999" customHeight="1" x14ac:dyDescent="0.35">
      <c r="F438" s="39"/>
    </row>
    <row r="439" spans="6:6" ht="20.149999999999999" customHeight="1" x14ac:dyDescent="0.35">
      <c r="F439" s="39"/>
    </row>
    <row r="440" spans="6:6" ht="20.149999999999999" customHeight="1" x14ac:dyDescent="0.35">
      <c r="F440" s="39"/>
    </row>
    <row r="441" spans="6:6" ht="20.149999999999999" customHeight="1" x14ac:dyDescent="0.35">
      <c r="F441" s="39"/>
    </row>
    <row r="442" spans="6:6" ht="20.149999999999999" customHeight="1" x14ac:dyDescent="0.35">
      <c r="F442" s="39"/>
    </row>
    <row r="443" spans="6:6" ht="20.149999999999999" customHeight="1" x14ac:dyDescent="0.35">
      <c r="F443" s="39"/>
    </row>
    <row r="444" spans="6:6" ht="20.149999999999999" customHeight="1" x14ac:dyDescent="0.35">
      <c r="F444" s="39"/>
    </row>
    <row r="445" spans="6:6" ht="20.149999999999999" customHeight="1" x14ac:dyDescent="0.35">
      <c r="F445" s="39"/>
    </row>
    <row r="446" spans="6:6" ht="20.149999999999999" customHeight="1" x14ac:dyDescent="0.35">
      <c r="F446" s="39"/>
    </row>
    <row r="447" spans="6:6" ht="20.149999999999999" customHeight="1" x14ac:dyDescent="0.35">
      <c r="F447" s="39"/>
    </row>
    <row r="448" spans="6:6" ht="20.149999999999999" customHeight="1" x14ac:dyDescent="0.35">
      <c r="F448" s="39"/>
    </row>
    <row r="449" spans="6:6" ht="20.149999999999999" customHeight="1" x14ac:dyDescent="0.35">
      <c r="F449" s="39"/>
    </row>
    <row r="450" spans="6:6" ht="20.149999999999999" customHeight="1" x14ac:dyDescent="0.35">
      <c r="F450" s="39"/>
    </row>
    <row r="451" spans="6:6" ht="20.149999999999999" customHeight="1" x14ac:dyDescent="0.35">
      <c r="F451" s="39"/>
    </row>
    <row r="452" spans="6:6" ht="20.149999999999999" customHeight="1" x14ac:dyDescent="0.35">
      <c r="F452" s="39"/>
    </row>
    <row r="453" spans="6:6" ht="20.149999999999999" customHeight="1" x14ac:dyDescent="0.35">
      <c r="F453" s="39"/>
    </row>
    <row r="454" spans="6:6" ht="20.149999999999999" customHeight="1" x14ac:dyDescent="0.35">
      <c r="F454" s="39"/>
    </row>
    <row r="455" spans="6:6" ht="20.149999999999999" customHeight="1" x14ac:dyDescent="0.35">
      <c r="F455" s="39"/>
    </row>
    <row r="456" spans="6:6" ht="20.149999999999999" customHeight="1" x14ac:dyDescent="0.35">
      <c r="F456" s="39"/>
    </row>
    <row r="457" spans="6:6" ht="20.149999999999999" customHeight="1" x14ac:dyDescent="0.35">
      <c r="F457" s="39"/>
    </row>
    <row r="458" spans="6:6" ht="20.149999999999999" customHeight="1" x14ac:dyDescent="0.35">
      <c r="F458" s="39"/>
    </row>
    <row r="459" spans="6:6" ht="20.149999999999999" customHeight="1" x14ac:dyDescent="0.35">
      <c r="F459" s="39"/>
    </row>
    <row r="460" spans="6:6" ht="20.149999999999999" customHeight="1" x14ac:dyDescent="0.35">
      <c r="F460" s="39"/>
    </row>
    <row r="461" spans="6:6" ht="20.149999999999999" customHeight="1" x14ac:dyDescent="0.35">
      <c r="F461" s="39"/>
    </row>
    <row r="462" spans="6:6" ht="20.149999999999999" customHeight="1" x14ac:dyDescent="0.35">
      <c r="F462" s="39"/>
    </row>
    <row r="463" spans="6:6" ht="20.149999999999999" customHeight="1" x14ac:dyDescent="0.35">
      <c r="F463" s="39"/>
    </row>
    <row r="464" spans="6:6" ht="20.149999999999999" customHeight="1" x14ac:dyDescent="0.35">
      <c r="F464" s="39"/>
    </row>
    <row r="465" spans="6:6" ht="20.149999999999999" customHeight="1" x14ac:dyDescent="0.35">
      <c r="F465" s="39"/>
    </row>
    <row r="466" spans="6:6" ht="20.149999999999999" customHeight="1" x14ac:dyDescent="0.35">
      <c r="F466" s="39"/>
    </row>
    <row r="467" spans="6:6" ht="20.149999999999999" customHeight="1" x14ac:dyDescent="0.35">
      <c r="F467" s="39"/>
    </row>
    <row r="468" spans="6:6" ht="20.149999999999999" customHeight="1" x14ac:dyDescent="0.35">
      <c r="F468" s="39"/>
    </row>
    <row r="469" spans="6:6" ht="20.149999999999999" customHeight="1" x14ac:dyDescent="0.35">
      <c r="F469" s="39"/>
    </row>
    <row r="470" spans="6:6" ht="20.149999999999999" customHeight="1" x14ac:dyDescent="0.35">
      <c r="F470" s="39"/>
    </row>
    <row r="471" spans="6:6" ht="20.149999999999999" customHeight="1" x14ac:dyDescent="0.35">
      <c r="F471" s="39"/>
    </row>
    <row r="472" spans="6:6" ht="20.149999999999999" customHeight="1" x14ac:dyDescent="0.35">
      <c r="F472" s="39"/>
    </row>
    <row r="473" spans="6:6" ht="20.149999999999999" customHeight="1" x14ac:dyDescent="0.35">
      <c r="F473" s="39"/>
    </row>
    <row r="474" spans="6:6" ht="20.149999999999999" customHeight="1" x14ac:dyDescent="0.35">
      <c r="F474" s="39"/>
    </row>
    <row r="475" spans="6:6" ht="20.149999999999999" customHeight="1" x14ac:dyDescent="0.35">
      <c r="F475" s="39"/>
    </row>
    <row r="476" spans="6:6" ht="20.149999999999999" customHeight="1" x14ac:dyDescent="0.35">
      <c r="F476" s="39"/>
    </row>
    <row r="477" spans="6:6" ht="20.149999999999999" customHeight="1" x14ac:dyDescent="0.35">
      <c r="F477" s="39"/>
    </row>
    <row r="478" spans="6:6" ht="20.149999999999999" customHeight="1" x14ac:dyDescent="0.35">
      <c r="F478" s="39"/>
    </row>
    <row r="479" spans="6:6" ht="20.149999999999999" customHeight="1" x14ac:dyDescent="0.35">
      <c r="F479" s="39"/>
    </row>
    <row r="480" spans="6:6" ht="20.149999999999999" customHeight="1" x14ac:dyDescent="0.35">
      <c r="F480" s="39"/>
    </row>
    <row r="481" spans="6:6" ht="20.149999999999999" customHeight="1" x14ac:dyDescent="0.35">
      <c r="F481" s="39"/>
    </row>
    <row r="482" spans="6:6" ht="20.149999999999999" customHeight="1" x14ac:dyDescent="0.35">
      <c r="F482" s="39"/>
    </row>
    <row r="483" spans="6:6" ht="20.149999999999999" customHeight="1" x14ac:dyDescent="0.35">
      <c r="F483" s="39"/>
    </row>
    <row r="484" spans="6:6" ht="20.149999999999999" customHeight="1" x14ac:dyDescent="0.35">
      <c r="F484" s="39"/>
    </row>
    <row r="485" spans="6:6" ht="20.149999999999999" customHeight="1" x14ac:dyDescent="0.35">
      <c r="F485" s="39"/>
    </row>
    <row r="486" spans="6:6" ht="20.149999999999999" customHeight="1" x14ac:dyDescent="0.35">
      <c r="F486" s="39"/>
    </row>
    <row r="487" spans="6:6" ht="20.149999999999999" customHeight="1" x14ac:dyDescent="0.35">
      <c r="F487" s="39"/>
    </row>
    <row r="488" spans="6:6" ht="20.149999999999999" customHeight="1" x14ac:dyDescent="0.35">
      <c r="F488" s="39"/>
    </row>
    <row r="489" spans="6:6" ht="20.149999999999999" customHeight="1" x14ac:dyDescent="0.35">
      <c r="F489" s="39"/>
    </row>
    <row r="490" spans="6:6" ht="20.149999999999999" customHeight="1" x14ac:dyDescent="0.35">
      <c r="F490" s="39"/>
    </row>
    <row r="491" spans="6:6" ht="20.149999999999999" customHeight="1" x14ac:dyDescent="0.35">
      <c r="F491" s="39"/>
    </row>
    <row r="492" spans="6:6" ht="20.149999999999999" customHeight="1" x14ac:dyDescent="0.35">
      <c r="F492" s="39"/>
    </row>
    <row r="493" spans="6:6" ht="20.149999999999999" customHeight="1" x14ac:dyDescent="0.35">
      <c r="F493" s="39"/>
    </row>
    <row r="494" spans="6:6" ht="20.149999999999999" customHeight="1" x14ac:dyDescent="0.35">
      <c r="F494" s="39"/>
    </row>
    <row r="495" spans="6:6" ht="20.149999999999999" customHeight="1" x14ac:dyDescent="0.35">
      <c r="F495" s="39"/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2:F61">
    <sortCondition ref="B1:B61"/>
  </sortState>
  <mergeCells count="2">
    <mergeCell ref="H1:J1"/>
    <mergeCell ref="H2:J2"/>
  </mergeCells>
  <phoneticPr fontId="5" type="noConversion"/>
  <dataValidations count="2">
    <dataValidation type="list" allowBlank="1" showInputMessage="1" showErrorMessage="1" sqref="I5" xr:uid="{29ECF2FE-24ED-4E11-BF4C-337D64265DA1}">
      <formula1>"OE,WT"</formula1>
    </dataValidation>
    <dataValidation type="list" allowBlank="1" showInputMessage="1" showErrorMessage="1" sqref="I6" xr:uid="{FB2C6DD1-4B9A-49F8-B93C-2980CA6D25B5}">
      <formula1>"rpsJ,rpsG,rplN,rpmG,rpsT,rpmF,sigA"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qPCR">
                <anchor moveWithCells="1" sizeWithCells="1">
                  <from>
                    <xdr:col>7</xdr:col>
                    <xdr:colOff>76200</xdr:colOff>
                    <xdr:row>13</xdr:row>
                    <xdr:rowOff>146050</xdr:rowOff>
                  </from>
                  <to>
                    <xdr:col>7</xdr:col>
                    <xdr:colOff>2590800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A4" sqref="A4"/>
    </sheetView>
  </sheetViews>
  <sheetFormatPr defaultRowHeight="14" x14ac:dyDescent="0.3"/>
  <sheetData>
    <row r="1" spans="1:1" x14ac:dyDescent="0.3">
      <c r="A1" t="s">
        <v>16</v>
      </c>
    </row>
  </sheetData>
  <phoneticPr fontId="5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I28"/>
  <sheetViews>
    <sheetView workbookViewId="0">
      <selection activeCell="B14" sqref="B14:H17"/>
    </sheetView>
  </sheetViews>
  <sheetFormatPr defaultRowHeight="14" x14ac:dyDescent="0.3"/>
  <cols>
    <col min="2" max="2" width="14.75" bestFit="1" customWidth="1"/>
    <col min="3" max="3" width="13.58203125" bestFit="1" customWidth="1"/>
    <col min="4" max="4" width="5.58203125" bestFit="1" customWidth="1"/>
    <col min="5" max="5" width="5.75" bestFit="1" customWidth="1"/>
    <col min="6" max="10" width="5.58203125" bestFit="1" customWidth="1"/>
  </cols>
  <sheetData>
    <row r="2" spans="2:9" x14ac:dyDescent="0.3">
      <c r="B2" s="1" t="s">
        <v>17</v>
      </c>
      <c r="C2" s="1" t="s">
        <v>2</v>
      </c>
    </row>
    <row r="3" spans="2:9" x14ac:dyDescent="0.3">
      <c r="B3" s="1" t="s">
        <v>1</v>
      </c>
      <c r="C3" t="s">
        <v>28</v>
      </c>
      <c r="D3" t="s">
        <v>30</v>
      </c>
      <c r="E3" t="s">
        <v>25</v>
      </c>
      <c r="F3" t="s">
        <v>27</v>
      </c>
      <c r="G3" t="s">
        <v>26</v>
      </c>
      <c r="H3" t="s">
        <v>29</v>
      </c>
      <c r="I3" t="s">
        <v>24</v>
      </c>
    </row>
    <row r="4" spans="2:9" x14ac:dyDescent="0.3">
      <c r="B4" t="s">
        <v>32</v>
      </c>
      <c r="C4" s="2">
        <v>27.586666666666662</v>
      </c>
      <c r="D4" s="2">
        <v>31.459999999999997</v>
      </c>
      <c r="E4" s="2">
        <v>27.643333333333334</v>
      </c>
      <c r="F4" s="2">
        <v>30.099999999999998</v>
      </c>
      <c r="G4" s="2">
        <v>27.606666666666669</v>
      </c>
      <c r="H4" s="2">
        <v>30.086666666666662</v>
      </c>
      <c r="I4" s="2">
        <v>27.516666666666666</v>
      </c>
    </row>
    <row r="5" spans="2:9" x14ac:dyDescent="0.3">
      <c r="B5" t="s">
        <v>31</v>
      </c>
      <c r="C5" s="2">
        <v>23.796666666666667</v>
      </c>
      <c r="D5" s="2">
        <v>26.266666666666666</v>
      </c>
      <c r="E5" s="2">
        <v>24.466666666666669</v>
      </c>
      <c r="F5" s="2">
        <v>26.616666666666664</v>
      </c>
      <c r="G5" s="2">
        <v>24.62</v>
      </c>
      <c r="H5" s="2">
        <v>27.613333333333333</v>
      </c>
      <c r="I5" s="2">
        <v>26.62</v>
      </c>
    </row>
    <row r="8" spans="2:9" x14ac:dyDescent="0.3">
      <c r="B8" s="1" t="s">
        <v>18</v>
      </c>
      <c r="C8" s="1" t="s">
        <v>2</v>
      </c>
    </row>
    <row r="9" spans="2:9" x14ac:dyDescent="0.3">
      <c r="B9" s="1" t="s">
        <v>1</v>
      </c>
      <c r="C9" t="s">
        <v>28</v>
      </c>
      <c r="D9" t="s">
        <v>30</v>
      </c>
      <c r="E9" t="s">
        <v>25</v>
      </c>
      <c r="F9" t="s">
        <v>27</v>
      </c>
      <c r="G9" t="s">
        <v>26</v>
      </c>
      <c r="H9" t="s">
        <v>29</v>
      </c>
      <c r="I9" t="s">
        <v>24</v>
      </c>
    </row>
    <row r="10" spans="2:9" x14ac:dyDescent="0.3">
      <c r="B10" t="s">
        <v>32</v>
      </c>
      <c r="C10" s="2">
        <v>7.0000000000000284E-2</v>
      </c>
      <c r="D10" s="2">
        <v>3.9433333333333351</v>
      </c>
      <c r="E10" s="2">
        <v>0.12666666666666751</v>
      </c>
      <c r="F10" s="2">
        <v>2.5833333333333344</v>
      </c>
      <c r="G10" s="2">
        <v>9.0000000000001038E-2</v>
      </c>
      <c r="H10" s="2">
        <v>2.5700000000000003</v>
      </c>
      <c r="I10" s="2">
        <v>0</v>
      </c>
    </row>
    <row r="11" spans="2:9" x14ac:dyDescent="0.3">
      <c r="B11" t="s">
        <v>31</v>
      </c>
      <c r="C11" s="2">
        <v>-2.8233333333333341</v>
      </c>
      <c r="D11" s="2">
        <v>-0.35333333333333528</v>
      </c>
      <c r="E11" s="2">
        <v>-2.1533333333333347</v>
      </c>
      <c r="F11" s="2">
        <v>-3.3333333333350388E-3</v>
      </c>
      <c r="G11" s="2">
        <v>-2.0000000000000013</v>
      </c>
      <c r="H11" s="2">
        <v>0.99333333333333229</v>
      </c>
      <c r="I11" s="2">
        <v>0</v>
      </c>
    </row>
    <row r="14" spans="2:9" x14ac:dyDescent="0.3">
      <c r="B14" s="1" t="s">
        <v>19</v>
      </c>
      <c r="C14" s="1" t="s">
        <v>2</v>
      </c>
    </row>
    <row r="15" spans="2:9" x14ac:dyDescent="0.3">
      <c r="B15" s="1" t="s">
        <v>1</v>
      </c>
      <c r="C15" t="s">
        <v>28</v>
      </c>
      <c r="D15" t="s">
        <v>30</v>
      </c>
      <c r="E15" t="s">
        <v>25</v>
      </c>
      <c r="F15" t="s">
        <v>27</v>
      </c>
      <c r="G15" t="s">
        <v>26</v>
      </c>
      <c r="H15" t="s">
        <v>29</v>
      </c>
    </row>
    <row r="16" spans="2:9" x14ac:dyDescent="0.3">
      <c r="B16" t="s">
        <v>32</v>
      </c>
      <c r="C16" s="2">
        <v>0.13837061446359708</v>
      </c>
      <c r="D16" s="2">
        <v>5.1070437419926375E-2</v>
      </c>
      <c r="E16" s="2">
        <v>0.2833191589424684</v>
      </c>
      <c r="F16" s="2">
        <v>0.25244919578082192</v>
      </c>
      <c r="G16" s="2">
        <v>0.24073517875266051</v>
      </c>
      <c r="H16" s="2">
        <v>0.33936822920570275</v>
      </c>
    </row>
    <row r="17" spans="2:8" x14ac:dyDescent="0.3">
      <c r="B17" t="s">
        <v>31</v>
      </c>
      <c r="C17" s="2">
        <v>1.023803454285515</v>
      </c>
      <c r="D17" s="2">
        <v>1.0050157330521057</v>
      </c>
      <c r="E17" s="2">
        <v>1.0069988280374966</v>
      </c>
      <c r="F17" s="2">
        <v>1.0060888098899754</v>
      </c>
      <c r="G17" s="2">
        <v>1.0025310182752347</v>
      </c>
      <c r="H17" s="2">
        <v>1.0077896400348434</v>
      </c>
    </row>
    <row r="20" spans="2:8" x14ac:dyDescent="0.3">
      <c r="B20" s="1" t="s">
        <v>20</v>
      </c>
      <c r="C20" s="1" t="s">
        <v>2</v>
      </c>
    </row>
    <row r="21" spans="2:8" x14ac:dyDescent="0.3">
      <c r="B21" s="1" t="s">
        <v>1</v>
      </c>
      <c r="C21" t="s">
        <v>28</v>
      </c>
      <c r="D21" t="s">
        <v>30</v>
      </c>
      <c r="E21" t="s">
        <v>25</v>
      </c>
      <c r="F21" t="s">
        <v>27</v>
      </c>
      <c r="G21" t="s">
        <v>26</v>
      </c>
      <c r="H21" t="s">
        <v>29</v>
      </c>
    </row>
    <row r="22" spans="2:8" x14ac:dyDescent="0.3">
      <c r="B22" t="s">
        <v>32</v>
      </c>
      <c r="C22" s="2">
        <v>3.7293986558801395E-2</v>
      </c>
      <c r="D22" s="2">
        <v>5.3919270346797438E-3</v>
      </c>
      <c r="E22" s="2">
        <v>0.19751657388297991</v>
      </c>
      <c r="F22" s="2">
        <v>0.18859835017572524</v>
      </c>
      <c r="G22" s="2">
        <v>6.5739606786254692E-2</v>
      </c>
      <c r="H22" s="2">
        <v>6.5815136840026184E-2</v>
      </c>
    </row>
    <row r="23" spans="2:8" x14ac:dyDescent="0.3">
      <c r="B23" t="s">
        <v>31</v>
      </c>
      <c r="C23" s="2">
        <v>0.26516276827893076</v>
      </c>
      <c r="D23" s="2">
        <v>0.12393499348699633</v>
      </c>
      <c r="E23" s="2">
        <v>0.14270293991633853</v>
      </c>
      <c r="F23" s="2">
        <v>0.1381282165975137</v>
      </c>
      <c r="G23" s="2">
        <v>8.8311286381839008E-2</v>
      </c>
      <c r="H23" s="2">
        <v>0.153813508361033</v>
      </c>
    </row>
    <row r="26" spans="2:8" x14ac:dyDescent="0.3">
      <c r="B26" s="28" t="s">
        <v>9</v>
      </c>
      <c r="C26" s="28" t="s">
        <v>28</v>
      </c>
      <c r="D26" s="28" t="s">
        <v>30</v>
      </c>
      <c r="E26" s="28" t="s">
        <v>25</v>
      </c>
      <c r="F26" s="28" t="s">
        <v>27</v>
      </c>
      <c r="G26" s="28" t="s">
        <v>26</v>
      </c>
      <c r="H26" s="28" t="s">
        <v>29</v>
      </c>
    </row>
    <row r="27" spans="2:8" x14ac:dyDescent="0.3">
      <c r="B27" t="s">
        <v>32</v>
      </c>
      <c r="C27">
        <v>4.6011314303412102E-3</v>
      </c>
      <c r="D27">
        <v>1.8369037270176027E-4</v>
      </c>
      <c r="E27">
        <v>6.7726610183692073E-3</v>
      </c>
      <c r="F27">
        <v>5.0445882516371218E-3</v>
      </c>
      <c r="G27">
        <v>2.7778489794320454E-4</v>
      </c>
      <c r="H27">
        <v>2.2885178869345561E-3</v>
      </c>
    </row>
    <row r="28" spans="2:8" x14ac:dyDescent="0.3">
      <c r="B28" t="s">
        <v>31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</sheetData>
  <phoneticPr fontId="5" type="noConversion"/>
  <pageMargins left="0.7" right="0.7" top="0.75" bottom="0.75" header="0.3" footer="0.3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Hide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2024-08-30T08:45:10Z</dcterms:modified>
</cp:coreProperties>
</file>